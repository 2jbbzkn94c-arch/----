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2B90FD37-BAE4-49BE-B457-998DDD975E39}" xr6:coauthVersionLast="47" xr6:coauthVersionMax="47" xr10:uidLastSave="{00000000-0000-0000-0000-000000000000}"/>
  <bookViews>
    <workbookView xWindow="9915" yWindow="4485" windowWidth="28800" windowHeight="15645" xr2:uid="{00000000-000D-0000-FFFF-FFFF00000000}"/>
  </bookViews>
  <sheets>
    <sheet name="角色列表" sheetId="1" r:id="rId1"/>
    <sheet name="词条解释" sheetId="4" r:id="rId2"/>
    <sheet name="数据统计" sheetId="5" r:id="rId3"/>
    <sheet name="平衡调整" sheetId="2" r:id="rId4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" i="1" l="1"/>
  <c r="M50" i="1"/>
  <c r="L50" i="1"/>
  <c r="O49" i="1"/>
  <c r="M49" i="1"/>
  <c r="B17" i="5"/>
  <c r="B16" i="5"/>
  <c r="B15" i="5"/>
  <c r="B14" i="5"/>
  <c r="B11" i="5"/>
  <c r="B10" i="5"/>
  <c r="B9" i="5"/>
  <c r="B8" i="5"/>
  <c r="B7" i="5"/>
  <c r="L49" i="1"/>
  <c r="M51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O44" i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51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15" i="2"/>
  <c r="D14" i="2"/>
  <c r="D18" i="2"/>
  <c r="E18" i="2"/>
  <c r="E17" i="2"/>
  <c r="E16" i="2"/>
  <c r="E15" i="2"/>
  <c r="E14" i="2"/>
  <c r="D16" i="2"/>
  <c r="Q50" i="1" l="1"/>
  <c r="Q49" i="1"/>
  <c r="Q48" i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<sst xmlns="http://schemas.openxmlformats.org/spreadsheetml/2006/main" count="355" uniqueCount="223">
  <si>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</si>
  <si>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</si>
  <si>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</si>
  <si>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</si>
  <si>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</si>
  <si>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</si>
  <si>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</si>
  <si>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</si>
  <si>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</si>
  <si>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</si>
  <si>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</si>
  <si>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</si>
  <si>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</si>
  <si>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</si>
  <si>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</si>
  <si>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</si>
  <si>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</si>
  <si>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</si>
  <si>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</si>
  <si>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</si>
  <si>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</si>
  <si>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</si>
  <si>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</si>
  <si>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</si>
  <si>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</si>
  <si>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</si>
  <si>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</si>
  <si>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</si>
  <si>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</si>
  <si>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</si>
  <si>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</si>
  <si>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</si>
  <si>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</si>
  <si>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</si>
  <si>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</si>
  <si>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</si>
  <si>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</si>
  <si>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</si>
  <si>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</si>
  <si>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</si>
  <si>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</si>
  <si>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</si>
  <si>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</si>
  <si>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</si>
  <si>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</si>
  <si>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</si>
  <si>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</si>
  <si>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</si>
  <si>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</si>
  <si>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</si>
  <si>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</si>
  <si>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</si>
  <si>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</si>
  <si>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</si>
  <si>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</si>
  <si>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</si>
  <si>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</si>
  <si>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</si>
  <si>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</si>
  <si>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</si>
  <si>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</si>
  <si>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</si>
  <si>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</si>
  <si>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</si>
  <si>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</si>
  <si>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毒蛇</t>
  </si>
  <si>
    <t>雪拳</t>
  </si>
  <si>
    <t>移动后，令相邻敌人获得[冰冻]。</t>
  </si>
  <si>
    <t>暗域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</si>
  <si>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</si>
  <si>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</si>
  <si>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</si>
  <si>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</si>
  <si>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</si>
  <si>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</si>
  <si>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</si>
  <si>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</si>
  <si>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</si>
  <si>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</si>
  <si>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</si>
  <si>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</si>
  <si>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</si>
  <si>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</si>
  <si>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</si>
  <si>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</si>
  <si>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</si>
  <si>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</si>
  <si>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</si>
  <si>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</si>
  <si>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</si>
  <si>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</si>
  <si>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</si>
  <si>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</si>
  <si>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</si>
  <si>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</si>
  <si>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</si>
  <si>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</si>
  <si>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</si>
  <si>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</si>
  <si>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</si>
  <si>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</si>
  <si>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</si>
  <si>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</si>
  <si>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</si>
  <si>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</si>
  <si>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</si>
  <si>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</si>
  <si>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</si>
  <si>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</si>
  <si>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</si>
  <si>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</si>
  <si>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</si>
  <si>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</si>
  <si>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</si>
  <si>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</si>
  <si>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</si>
  <si>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</si>
  <si>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</si>
  <si>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</si>
  <si>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</si>
  <si>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</si>
  <si>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</si>
  <si>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</si>
  <si>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</si>
  <si>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</si>
  <si>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</si>
  <si>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</si>
  <si>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</si>
  <si>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</si>
  <si>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</si>
  <si>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</si>
  <si>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</si>
  <si>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</si>
  <si>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</si>
  <si>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</si>
  <si>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</si>
  <si>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</si>
  <si>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</si>
  <si>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</si>
  <si>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</si>
  <si>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</si>
  <si>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</si>
  <si>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</si>
  <si>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</si>
  <si>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</si>
  <si>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</si>
  <si>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</si>
  <si>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</si>
  <si>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</si>
  <si>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</si>
  <si>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</si>
  <si>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</si>
  <si>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</si>
  <si>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</si>
  <si>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</si>
  <si>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</si>
  <si>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</si>
  <si>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</si>
  <si>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</si>
  <si>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</si>
  <si>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</si>
  <si>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</si>
  <si>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</si>
  <si>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</si>
  <si>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</si>
  <si>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</si>
  <si>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</si>
  <si>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</si>
  <si>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</si>
  <si>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</si>
  <si>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</si>
  <si>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</si>
  <si>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</si>
  <si>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</si>
  <si>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</si>
  <si>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</si>
  <si>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</si>
  <si>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</si>
  <si>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</si>
  <si>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死亡时，对相邻的所有单位（含己方队友）造成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</si>
  <si>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</si>
  <si>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</si>
  <si>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</si>
  <si>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</si>
  <si>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</si>
  <si>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</si>
  <si>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</si>
  <si>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</si>
  <si>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</si>
  <si>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</si>
  <si>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</si>
  <si>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</si>
  <si>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</si>
  <si>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</si>
  <si>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</si>
  <si>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</si>
  <si>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</si>
  <si>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</si>
  <si>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</si>
  <si>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</si>
  <si>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</si>
  <si>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</si>
  <si>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</si>
  <si>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</si>
  <si>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</si>
  <si>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</si>
  <si>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</si>
  <si>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</si>
  <si>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</si>
  <si>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我方回合内，每当敌人受到一次伤害，你的攻击力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，对方回合结束时消失。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</si>
  <si>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</si>
  <si>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</si>
  <si>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</si>
  <si>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渗透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</si>
  <si>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后勤</t>
    </r>
    <r>
      <rPr>
        <sz val="12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</si>
  <si>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所有</t>
    </r>
    <r>
      <rPr>
        <sz val="12"/>
        <color rgb="FF333333"/>
        <rFont val="Arial"/>
        <family val="2"/>
      </rPr>
      <t>AOE</t>
    </r>
    <r>
      <rPr>
        <sz val="12"/>
        <color rgb="FF333333"/>
        <rFont val="宋体"/>
        <family val="2"/>
        <charset val="134"/>
      </rPr>
      <t>和多段</t>
    </r>
    <phoneticPr fontId="1" type="noConversion"/>
  </si>
  <si>
    <t>能提供攻击力加成的角色</t>
    <phoneticPr fontId="1" type="noConversion"/>
  </si>
  <si>
    <t>我方回合开始时，随机变为己方队伍中的一名其他角色，暂时获得其所有技能和特性，直到下次变化为止。</t>
    <phoneticPr fontId="1" type="noConversion"/>
  </si>
  <si>
    <t>远程</t>
    <phoneticPr fontId="1" type="noConversion"/>
  </si>
  <si>
    <t>远程
后勤</t>
    <phoneticPr fontId="1" type="noConversion"/>
  </si>
  <si>
    <t>能使敌人位移的角色，除了暗域</t>
    <phoneticPr fontId="1" type="noConversion"/>
  </si>
  <si>
    <r>
      <rPr>
        <sz val="12"/>
        <color rgb="FF333333"/>
        <rFont val="微软雅黑"/>
        <family val="2"/>
        <charset val="134"/>
      </rPr>
      <t>可以移动到任意格子。攻击后，令敌人获得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附体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</si>
  <si>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t>己方回合开始时，在战场中的空地随机放置两个随机的增益道具，生成增益道具只能我方拾取，对方拾取则消失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</si>
</sst>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2"/>
  <sheetViews>
    <sheetView tabSelected="1" topLeftCell="A28" zoomScale="115" zoomScaleNormal="115" workbookViewId="0">
      <selection activeCell="G31" sqref="G31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13" width="9" style="7"/>
    <col min="14" max="14" width="10.5" style="7" customWidth="1"/>
    <col min="15" max="16384" width="9" style="7"/>
  </cols>
  <sheetData>
    <row r="1" spans="1:18" s="15" customFormat="1" ht="15.75" x14ac:dyDescent="0.2">
      <c r="A1" s="13" t="s">
        <v>0</v>
      </c>
      <c r="B1" s="14" t="s">
        <v>163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120</v>
      </c>
      <c r="M1" s="13" t="s">
        <v>121</v>
      </c>
      <c r="N1" s="14" t="s">
        <v>124</v>
      </c>
      <c r="O1" s="13" t="s">
        <v>122</v>
      </c>
      <c r="P1" s="14" t="s">
        <v>125</v>
      </c>
      <c r="Q1" s="13" t="s">
        <v>123</v>
      </c>
      <c r="R1" s="14" t="s">
        <v>159</v>
      </c>
    </row>
    <row r="2" spans="1:18" ht="15" x14ac:dyDescent="0.2">
      <c r="A2" s="9">
        <v>1</v>
      </c>
      <c r="B2" s="10" t="s">
        <v>162</v>
      </c>
      <c r="C2" s="9" t="s">
        <v>10</v>
      </c>
      <c r="D2" s="9">
        <v>3</v>
      </c>
      <c r="E2" s="9">
        <v>27</v>
      </c>
      <c r="F2" s="9"/>
      <c r="G2" s="20" t="s">
        <v>11</v>
      </c>
      <c r="H2" s="9" t="s">
        <v>12</v>
      </c>
      <c r="I2" s="9"/>
      <c r="J2" s="9"/>
      <c r="K2" s="9"/>
      <c r="L2" s="10">
        <f>D2*2.2+E2*0.45</f>
        <v>18.75</v>
      </c>
      <c r="M2" s="10">
        <f>SUM(IF(ISNUMBER(SEARCH("疾行",F2)),1.5,0), IF(ISNUMBER(SEARCH("渗透",F2)),1.5,0), IF(ISNUMBER(SEARCH("嘲讽",F2)),-1,0), IF(ISNUMBER(SEARCH("后勤",F2)),1,0))</f>
        <v>0</v>
      </c>
      <c r="N2" s="10">
        <v>0</v>
      </c>
      <c r="O2" s="10">
        <f>N2*2.2</f>
        <v>0</v>
      </c>
      <c r="P2" s="10"/>
      <c r="Q2" s="10">
        <f>L2+M2+O2+P2</f>
        <v>18.75</v>
      </c>
      <c r="R2" s="10" t="s">
        <v>160</v>
      </c>
    </row>
    <row r="3" spans="1:18" ht="69" x14ac:dyDescent="0.2">
      <c r="A3" s="9">
        <v>2</v>
      </c>
      <c r="B3" s="10" t="s">
        <v>162</v>
      </c>
      <c r="C3" s="9" t="s">
        <v>13</v>
      </c>
      <c r="D3" s="9">
        <v>2</v>
      </c>
      <c r="E3" s="9">
        <v>24</v>
      </c>
      <c r="F3" s="9" t="s">
        <v>14</v>
      </c>
      <c r="G3" s="22" t="s">
        <v>222</v>
      </c>
      <c r="H3" s="9" t="s">
        <v>15</v>
      </c>
      <c r="I3" s="9"/>
      <c r="J3" s="9"/>
      <c r="K3" s="9"/>
      <c r="L3" s="10">
        <f>D3*2.2+E3*0.45</f>
        <v>15.200000000000001</v>
      </c>
      <c r="M3" s="10">
        <f>SUM(IF(ISNUMBER(SEARCH("疾行",F3)),1.5,0), IF(ISNUMBER(SEARCH("渗透",F3)),1.5,0), IF(ISNUMBER(SEARCH("嘲讽",F3)),-1,0), IF(ISNUMBER(SEARCH("后勤",F3)),1,0))</f>
        <v>1.5</v>
      </c>
      <c r="N3" s="10">
        <v>0</v>
      </c>
      <c r="O3" s="10">
        <f>N3*2.2</f>
        <v>0</v>
      </c>
      <c r="P3" s="10">
        <v>1</v>
      </c>
      <c r="Q3" s="10">
        <f>L3+M3+O3+P3</f>
        <v>17.700000000000003</v>
      </c>
      <c r="R3" s="10" t="s">
        <v>161</v>
      </c>
    </row>
    <row r="4" spans="1:18" ht="34.5" x14ac:dyDescent="0.2">
      <c r="A4" s="9">
        <v>3</v>
      </c>
      <c r="B4" s="10" t="s">
        <v>166</v>
      </c>
      <c r="C4" s="9" t="s">
        <v>16</v>
      </c>
      <c r="D4" s="9">
        <v>1</v>
      </c>
      <c r="E4" s="9">
        <v>21</v>
      </c>
      <c r="F4" s="9"/>
      <c r="G4" s="20" t="s">
        <v>17</v>
      </c>
      <c r="H4" s="9"/>
      <c r="I4" s="11" t="s">
        <v>134</v>
      </c>
      <c r="J4" s="12" t="s">
        <v>127</v>
      </c>
      <c r="K4" s="9"/>
      <c r="L4" s="10">
        <f>D4*2.2+E4*0.45</f>
        <v>11.650000000000002</v>
      </c>
      <c r="M4" s="10">
        <f>SUM(IF(ISNUMBER(SEARCH("疾行",F4)),1.5,0), IF(ISNUMBER(SEARCH("渗透",F4)),1.5,0), IF(ISNUMBER(SEARCH("嘲讽",F4)),-1,0), IF(ISNUMBER(SEARCH("后勤",F4)),1,0))</f>
        <v>0</v>
      </c>
      <c r="N4" s="10">
        <v>3</v>
      </c>
      <c r="O4" s="10">
        <f>N4*2.2</f>
        <v>6.6000000000000005</v>
      </c>
      <c r="P4" s="10"/>
      <c r="Q4" s="10">
        <f>L4+M4+O4+P4</f>
        <v>18.250000000000004</v>
      </c>
      <c r="R4" s="10" t="s">
        <v>169</v>
      </c>
    </row>
    <row r="5" spans="1:18" ht="15" x14ac:dyDescent="0.2">
      <c r="A5" s="9">
        <v>4</v>
      </c>
      <c r="B5" s="10" t="s">
        <v>166</v>
      </c>
      <c r="C5" s="9" t="s">
        <v>18</v>
      </c>
      <c r="D5" s="9">
        <v>4</v>
      </c>
      <c r="E5" s="9">
        <v>18</v>
      </c>
      <c r="F5" s="9" t="s">
        <v>14</v>
      </c>
      <c r="G5" s="20"/>
      <c r="H5" s="9"/>
      <c r="I5" s="9"/>
      <c r="J5" s="9"/>
      <c r="K5" s="9"/>
      <c r="L5" s="10">
        <f>D5*2.2+E5*0.45</f>
        <v>16.899999999999999</v>
      </c>
      <c r="M5" s="10">
        <f>SUM(IF(ISNUMBER(SEARCH("疾行",F5)),1.5,0), IF(ISNUMBER(SEARCH("渗透",F5)),1.5,0), IF(ISNUMBER(SEARCH("嘲讽",F5)),-1,0), IF(ISNUMBER(SEARCH("后勤",F5)),1,0))</f>
        <v>1.5</v>
      </c>
      <c r="N5" s="10">
        <v>0</v>
      </c>
      <c r="O5" s="10">
        <f>N5*2.2</f>
        <v>0</v>
      </c>
      <c r="P5" s="10"/>
      <c r="Q5" s="10">
        <f>L5+M5+O5+P5</f>
        <v>18.399999999999999</v>
      </c>
      <c r="R5" s="10" t="s">
        <v>160</v>
      </c>
    </row>
    <row r="6" spans="1:18" ht="45" x14ac:dyDescent="0.2">
      <c r="A6" s="9">
        <v>5</v>
      </c>
      <c r="B6" s="10" t="s">
        <v>164</v>
      </c>
      <c r="C6" s="9" t="s">
        <v>19</v>
      </c>
      <c r="D6" s="9">
        <v>3</v>
      </c>
      <c r="E6" s="9">
        <v>19</v>
      </c>
      <c r="F6" s="9" t="s">
        <v>20</v>
      </c>
      <c r="G6" s="22" t="s">
        <v>185</v>
      </c>
      <c r="H6" s="9" t="s">
        <v>21</v>
      </c>
      <c r="I6" s="9"/>
      <c r="J6" s="9"/>
      <c r="K6" s="9"/>
      <c r="L6" s="10">
        <f>D6*2.2+E6*0.45</f>
        <v>15.150000000000002</v>
      </c>
      <c r="M6" s="10">
        <f>SUM(IF(ISNUMBER(SEARCH("疾行",F6)),1.5,0), IF(ISNUMBER(SEARCH("渗透",F6)),1.5,0), IF(ISNUMBER(SEARCH("嘲讽",F6)),-1,0), IF(ISNUMBER(SEARCH("后勤",F6)),1,0))</f>
        <v>0</v>
      </c>
      <c r="N6" s="10">
        <v>1</v>
      </c>
      <c r="O6" s="10">
        <f>N6*2.2</f>
        <v>2.2000000000000002</v>
      </c>
      <c r="P6" s="10"/>
      <c r="Q6" s="10">
        <f>L6+M6+O6+P6</f>
        <v>17.350000000000001</v>
      </c>
      <c r="R6" s="10" t="s">
        <v>161</v>
      </c>
    </row>
    <row r="7" spans="1:18" ht="45" x14ac:dyDescent="0.2">
      <c r="A7" s="9">
        <v>6</v>
      </c>
      <c r="B7" s="10" t="s">
        <v>162</v>
      </c>
      <c r="C7" s="9" t="s">
        <v>22</v>
      </c>
      <c r="D7" s="9">
        <v>3</v>
      </c>
      <c r="E7" s="9">
        <v>16</v>
      </c>
      <c r="F7" s="9" t="s">
        <v>132</v>
      </c>
      <c r="G7" s="20" t="s">
        <v>23</v>
      </c>
      <c r="H7" s="9" t="s">
        <v>24</v>
      </c>
      <c r="I7" s="9"/>
      <c r="J7" s="9"/>
      <c r="K7" s="9"/>
      <c r="L7" s="10">
        <f>D7*2.2+E7*0.45</f>
        <v>13.8</v>
      </c>
      <c r="M7" s="10">
        <f>SUM(IF(ISNUMBER(SEARCH("疾行",F7)),1.5,0), IF(ISNUMBER(SEARCH("渗透",F7)),1.5,0), IF(ISNUMBER(SEARCH("嘲讽",F7)),-1,0), IF(ISNUMBER(SEARCH("后勤",F7)),1,0))</f>
        <v>1.5</v>
      </c>
      <c r="N7" s="10">
        <v>3</v>
      </c>
      <c r="O7" s="10">
        <f>N7*0.45</f>
        <v>1.35</v>
      </c>
      <c r="P7" s="10"/>
      <c r="Q7" s="10">
        <f>L7+M7+O7+P7</f>
        <v>16.650000000000002</v>
      </c>
      <c r="R7" s="10" t="s">
        <v>161</v>
      </c>
    </row>
    <row r="8" spans="1:18" ht="34.5" x14ac:dyDescent="0.2">
      <c r="A8" s="9">
        <v>7</v>
      </c>
      <c r="B8" s="10" t="s">
        <v>162</v>
      </c>
      <c r="C8" s="9" t="s">
        <v>25</v>
      </c>
      <c r="D8" s="9">
        <v>5</v>
      </c>
      <c r="E8" s="9">
        <v>14</v>
      </c>
      <c r="F8" s="9" t="s">
        <v>132</v>
      </c>
      <c r="G8" s="20"/>
      <c r="H8" s="9" t="s">
        <v>26</v>
      </c>
      <c r="I8" s="9"/>
      <c r="J8" s="9"/>
      <c r="K8" s="9"/>
      <c r="L8" s="10">
        <f>D8*2.2+E8*0.45</f>
        <v>17.3</v>
      </c>
      <c r="M8" s="10">
        <f>SUM(IF(ISNUMBER(SEARCH("疾行",F8)),1.5,0), IF(ISNUMBER(SEARCH("渗透",F8)),1.5,0), IF(ISNUMBER(SEARCH("嘲讽",F8)),-1,0), IF(ISNUMBER(SEARCH("后勤",F8)),1,0))</f>
        <v>1.5</v>
      </c>
      <c r="N8" s="10"/>
      <c r="O8" s="10">
        <f>N8*2.2</f>
        <v>0</v>
      </c>
      <c r="P8" s="10"/>
      <c r="Q8" s="10">
        <f>L8+M8+O8+P8</f>
        <v>18.8</v>
      </c>
      <c r="R8" s="10" t="s">
        <v>160</v>
      </c>
    </row>
    <row r="9" spans="1:18" ht="34.5" x14ac:dyDescent="0.2">
      <c r="A9" s="9">
        <v>8</v>
      </c>
      <c r="B9" s="10" t="s">
        <v>165</v>
      </c>
      <c r="C9" s="9" t="s">
        <v>27</v>
      </c>
      <c r="D9" s="9">
        <v>2</v>
      </c>
      <c r="E9" s="9">
        <v>20</v>
      </c>
      <c r="F9" s="9" t="s">
        <v>20</v>
      </c>
      <c r="G9" s="21" t="s">
        <v>186</v>
      </c>
      <c r="H9" s="9" t="s">
        <v>28</v>
      </c>
      <c r="I9" s="9"/>
      <c r="J9" s="9"/>
      <c r="K9" s="9"/>
      <c r="L9" s="10">
        <f>D9*2.2+E9*0.45</f>
        <v>13.4</v>
      </c>
      <c r="M9" s="10">
        <f>SUM(IF(ISNUMBER(SEARCH("疾行",F9)),1.5,0), IF(ISNUMBER(SEARCH("渗透",F9)),1.5,0), IF(ISNUMBER(SEARCH("嘲讽",F9)),-1,0), IF(ISNUMBER(SEARCH("后勤",F9)),1,0))</f>
        <v>0</v>
      </c>
      <c r="N9" s="10">
        <v>4</v>
      </c>
      <c r="O9" s="10">
        <f>N9*0.45</f>
        <v>1.8</v>
      </c>
      <c r="P9" s="10"/>
      <c r="Q9" s="10">
        <f>L9+M9+O9+P9</f>
        <v>15.200000000000001</v>
      </c>
      <c r="R9" s="10" t="s">
        <v>161</v>
      </c>
    </row>
    <row r="10" spans="1:18" ht="15" x14ac:dyDescent="0.2">
      <c r="A10" s="9">
        <v>9</v>
      </c>
      <c r="B10" s="10" t="s">
        <v>162</v>
      </c>
      <c r="C10" s="9" t="s">
        <v>29</v>
      </c>
      <c r="D10" s="9">
        <v>4</v>
      </c>
      <c r="E10" s="9">
        <v>20</v>
      </c>
      <c r="F10" s="9" t="s">
        <v>20</v>
      </c>
      <c r="G10" s="20"/>
      <c r="H10" s="9"/>
      <c r="I10" s="9"/>
      <c r="J10" s="9"/>
      <c r="K10" s="9"/>
      <c r="L10" s="10">
        <f>D10*2.2+E10*0.45</f>
        <v>17.8</v>
      </c>
      <c r="M10" s="10">
        <f>SUM(IF(ISNUMBER(SEARCH("疾行",F10)),1.5,0), IF(ISNUMBER(SEARCH("渗透",F10)),1.5,0), IF(ISNUMBER(SEARCH("嘲讽",F10)),-1,0), IF(ISNUMBER(SEARCH("后勤",F10)),1,0))</f>
        <v>0</v>
      </c>
      <c r="N10" s="10"/>
      <c r="O10" s="10">
        <f>N10*2.2</f>
        <v>0</v>
      </c>
      <c r="P10" s="10"/>
      <c r="Q10" s="10">
        <f>L10+M10+O10+P10</f>
        <v>17.8</v>
      </c>
      <c r="R10" s="10" t="s">
        <v>160</v>
      </c>
    </row>
    <row r="11" spans="1:18" ht="34.5" x14ac:dyDescent="0.2">
      <c r="A11" s="9">
        <v>10</v>
      </c>
      <c r="B11" s="10" t="s">
        <v>165</v>
      </c>
      <c r="C11" s="9" t="s">
        <v>30</v>
      </c>
      <c r="D11" s="9">
        <v>2</v>
      </c>
      <c r="E11" s="9">
        <v>19</v>
      </c>
      <c r="F11" s="9" t="s">
        <v>132</v>
      </c>
      <c r="G11" s="20" t="s">
        <v>31</v>
      </c>
      <c r="H11" s="9" t="s">
        <v>28</v>
      </c>
      <c r="I11" s="9"/>
      <c r="J11" s="9"/>
      <c r="K11" s="9"/>
      <c r="L11" s="10">
        <f>D11*2.2+E11*0.45</f>
        <v>12.950000000000001</v>
      </c>
      <c r="M11" s="10">
        <f>SUM(IF(ISNUMBER(SEARCH("疾行",F11)),1.5,0), IF(ISNUMBER(SEARCH("渗透",F11)),1.5,0), IF(ISNUMBER(SEARCH("嘲讽",F11)),-1,0), IF(ISNUMBER(SEARCH("后勤",F11)),1,0))</f>
        <v>1.5</v>
      </c>
      <c r="N11" s="10">
        <v>2</v>
      </c>
      <c r="O11" s="10">
        <f>N11*2.2</f>
        <v>4.4000000000000004</v>
      </c>
      <c r="P11" s="10"/>
      <c r="Q11" s="10">
        <f>L11+M11+O11+P11</f>
        <v>18.850000000000001</v>
      </c>
      <c r="R11" s="10" t="s">
        <v>169</v>
      </c>
    </row>
    <row r="12" spans="1:18" ht="30" x14ac:dyDescent="0.2">
      <c r="A12" s="9">
        <v>11</v>
      </c>
      <c r="B12" s="10" t="s">
        <v>162</v>
      </c>
      <c r="C12" s="9" t="s">
        <v>32</v>
      </c>
      <c r="D12" s="9">
        <v>1</v>
      </c>
      <c r="E12" s="9">
        <v>40</v>
      </c>
      <c r="F12" s="9" t="s">
        <v>33</v>
      </c>
      <c r="G12" s="20" t="s">
        <v>34</v>
      </c>
      <c r="H12" s="9"/>
      <c r="I12" s="9"/>
      <c r="J12" s="9"/>
      <c r="K12" s="9"/>
      <c r="L12" s="10">
        <f>D12*2.2+E12*0.45</f>
        <v>20.2</v>
      </c>
      <c r="M12" s="10">
        <f>SUM(IF(ISNUMBER(SEARCH("疾行",F12)),1.5,0), IF(ISNUMBER(SEARCH("渗透",F12)),1.5,0), IF(ISNUMBER(SEARCH("嘲讽",F12)),-1,0), IF(ISNUMBER(SEARCH("后勤",F12)),1,0))</f>
        <v>-1</v>
      </c>
      <c r="N12" s="10">
        <v>0</v>
      </c>
      <c r="O12" s="10">
        <f>N12*2.2</f>
        <v>0</v>
      </c>
      <c r="P12" s="10"/>
      <c r="Q12" s="10">
        <f>L12+M12+O12+P12</f>
        <v>19.2</v>
      </c>
      <c r="R12" s="10" t="s">
        <v>170</v>
      </c>
    </row>
    <row r="13" spans="1:18" ht="15" x14ac:dyDescent="0.2">
      <c r="A13" s="9">
        <v>12</v>
      </c>
      <c r="B13" s="10" t="s">
        <v>162</v>
      </c>
      <c r="C13" s="9" t="s">
        <v>35</v>
      </c>
      <c r="D13" s="9">
        <v>2</v>
      </c>
      <c r="E13" s="9">
        <v>24</v>
      </c>
      <c r="F13" s="9" t="s">
        <v>33</v>
      </c>
      <c r="G13" s="20" t="s">
        <v>36</v>
      </c>
      <c r="H13" s="9"/>
      <c r="I13" s="9"/>
      <c r="J13" s="9"/>
      <c r="K13" s="9"/>
      <c r="L13" s="10">
        <f>D13*2.2+E13*0.45</f>
        <v>15.200000000000001</v>
      </c>
      <c r="M13" s="10">
        <f>SUM(IF(ISNUMBER(SEARCH("疾行",F13)),1.5,0), IF(ISNUMBER(SEARCH("渗透",F13)),1.5,0), IF(ISNUMBER(SEARCH("嘲讽",F13)),-1,0), IF(ISNUMBER(SEARCH("后勤",F13)),1,0))</f>
        <v>-1</v>
      </c>
      <c r="N13" s="10">
        <v>2</v>
      </c>
      <c r="O13" s="10">
        <f>N13*2.2</f>
        <v>4.4000000000000004</v>
      </c>
      <c r="P13" s="10"/>
      <c r="Q13" s="10">
        <f>L13+M13+O13+P13</f>
        <v>18.600000000000001</v>
      </c>
      <c r="R13" s="10" t="s">
        <v>170</v>
      </c>
    </row>
    <row r="14" spans="1:18" ht="15" x14ac:dyDescent="0.2">
      <c r="A14" s="9">
        <v>13</v>
      </c>
      <c r="B14" s="10" t="s">
        <v>166</v>
      </c>
      <c r="C14" s="9" t="s">
        <v>38</v>
      </c>
      <c r="D14" s="9">
        <v>2</v>
      </c>
      <c r="E14" s="9">
        <v>33</v>
      </c>
      <c r="F14" s="9" t="s">
        <v>33</v>
      </c>
      <c r="G14" s="20"/>
      <c r="H14" s="9"/>
      <c r="I14" s="9"/>
      <c r="J14" s="9"/>
      <c r="K14" s="9"/>
      <c r="L14" s="10">
        <f>D14*2.2+E14*0.45</f>
        <v>19.25</v>
      </c>
      <c r="M14" s="10">
        <f>SUM(IF(ISNUMBER(SEARCH("疾行",F14)),1.5,0), IF(ISNUMBER(SEARCH("渗透",F14)),1.5,0), IF(ISNUMBER(SEARCH("嘲讽",F14)),-1,0), IF(ISNUMBER(SEARCH("后勤",F14)),1,0))</f>
        <v>-1</v>
      </c>
      <c r="N14" s="10">
        <v>0</v>
      </c>
      <c r="O14" s="10">
        <f>N14*2.2</f>
        <v>0</v>
      </c>
      <c r="P14" s="10"/>
      <c r="Q14" s="10">
        <f>L14+M14+O14+P14</f>
        <v>18.25</v>
      </c>
      <c r="R14" s="10" t="s">
        <v>170</v>
      </c>
    </row>
    <row r="15" spans="1:18" ht="45" x14ac:dyDescent="0.2">
      <c r="A15" s="9">
        <v>14</v>
      </c>
      <c r="B15" s="10" t="s">
        <v>164</v>
      </c>
      <c r="C15" s="9" t="s">
        <v>39</v>
      </c>
      <c r="D15" s="9">
        <v>4</v>
      </c>
      <c r="E15" s="9">
        <v>15</v>
      </c>
      <c r="F15" s="9"/>
      <c r="G15" s="20" t="s">
        <v>40</v>
      </c>
      <c r="H15" s="9" t="s">
        <v>41</v>
      </c>
      <c r="I15" s="9"/>
      <c r="J15" s="9"/>
      <c r="K15" s="9"/>
      <c r="L15" s="10">
        <f>D15*2.2+E15*0.45</f>
        <v>15.55</v>
      </c>
      <c r="M15" s="10">
        <f>SUM(IF(ISNUMBER(SEARCH("疾行",F15)),1.5,0), IF(ISNUMBER(SEARCH("渗透",F15)),1.5,0), IF(ISNUMBER(SEARCH("嘲讽",F15)),-1,0), IF(ISNUMBER(SEARCH("后勤",F15)),1,0))</f>
        <v>0</v>
      </c>
      <c r="N15" s="10">
        <v>4</v>
      </c>
      <c r="O15" s="10">
        <f>N15*0.45</f>
        <v>1.8</v>
      </c>
      <c r="P15" s="10"/>
      <c r="Q15" s="10">
        <f>L15+M15+O15+P15</f>
        <v>17.350000000000001</v>
      </c>
      <c r="R15" s="10" t="s">
        <v>169</v>
      </c>
    </row>
    <row r="16" spans="1:18" ht="30" x14ac:dyDescent="0.2">
      <c r="A16" s="9">
        <v>15</v>
      </c>
      <c r="B16" s="10" t="s">
        <v>164</v>
      </c>
      <c r="C16" s="9" t="s">
        <v>42</v>
      </c>
      <c r="D16" s="9">
        <v>3</v>
      </c>
      <c r="E16" s="9">
        <v>18</v>
      </c>
      <c r="F16" s="9" t="s">
        <v>14</v>
      </c>
      <c r="G16" s="20" t="s">
        <v>43</v>
      </c>
      <c r="H16" s="9" t="s">
        <v>28</v>
      </c>
      <c r="I16" s="9"/>
      <c r="J16" s="9"/>
      <c r="K16" s="9"/>
      <c r="L16" s="10">
        <f>D16*2.2+E16*0.45</f>
        <v>14.7</v>
      </c>
      <c r="M16" s="10">
        <f>SUM(IF(ISNUMBER(SEARCH("疾行",F16)),1.5,0), IF(ISNUMBER(SEARCH("渗透",F16)),1.5,0), IF(ISNUMBER(SEARCH("嘲讽",F16)),-1,0), IF(ISNUMBER(SEARCH("后勤",F16)),1,0))</f>
        <v>1.5</v>
      </c>
      <c r="N16" s="10">
        <v>1.5</v>
      </c>
      <c r="O16" s="10">
        <f>N16*2.2</f>
        <v>3.3000000000000003</v>
      </c>
      <c r="P16" s="10"/>
      <c r="Q16" s="10">
        <f>L16+M16+O16+P16</f>
        <v>19.5</v>
      </c>
      <c r="R16" s="10" t="s">
        <v>169</v>
      </c>
    </row>
    <row r="17" spans="1:18" ht="15" x14ac:dyDescent="0.2">
      <c r="A17" s="9">
        <v>16</v>
      </c>
      <c r="B17" s="10" t="s">
        <v>167</v>
      </c>
      <c r="C17" s="9" t="s">
        <v>44</v>
      </c>
      <c r="D17" s="9">
        <v>4</v>
      </c>
      <c r="E17" s="9">
        <v>16</v>
      </c>
      <c r="F17" s="9" t="s">
        <v>45</v>
      </c>
      <c r="G17" s="20" t="s">
        <v>46</v>
      </c>
      <c r="H17" s="9"/>
      <c r="I17" s="9"/>
      <c r="J17" s="9"/>
      <c r="K17" s="9"/>
      <c r="L17" s="10">
        <f>D17*2.2+E17*0.45</f>
        <v>16</v>
      </c>
      <c r="M17" s="10">
        <f>SUM(IF(ISNUMBER(SEARCH("疾行",F17)),1.5,0), IF(ISNUMBER(SEARCH("渗透",F17)),1.5,0), IF(ISNUMBER(SEARCH("嘲讽",F17)),-1,0), IF(ISNUMBER(SEARCH("后勤",F17)),1,0))</f>
        <v>0</v>
      </c>
      <c r="N17" s="10">
        <v>6</v>
      </c>
      <c r="O17" s="10">
        <f>N17*0.45</f>
        <v>2.7</v>
      </c>
      <c r="P17" s="10"/>
      <c r="Q17" s="10">
        <f>L17+M17+O17+P17</f>
        <v>18.7</v>
      </c>
      <c r="R17" s="10" t="s">
        <v>161</v>
      </c>
    </row>
    <row r="18" spans="1:18" ht="34.5" x14ac:dyDescent="0.2">
      <c r="A18" s="9">
        <v>17</v>
      </c>
      <c r="B18" s="10" t="s">
        <v>165</v>
      </c>
      <c r="C18" s="9" t="s">
        <v>47</v>
      </c>
      <c r="D18" s="9">
        <v>3</v>
      </c>
      <c r="E18" s="9">
        <v>17</v>
      </c>
      <c r="F18" s="9" t="s">
        <v>214</v>
      </c>
      <c r="G18" s="20" t="s">
        <v>48</v>
      </c>
      <c r="H18" s="12" t="s">
        <v>216</v>
      </c>
      <c r="I18" s="9"/>
      <c r="J18" s="9"/>
      <c r="K18" s="9"/>
      <c r="L18" s="10">
        <f>D18*2.2+E18*0.45</f>
        <v>14.25</v>
      </c>
      <c r="M18" s="10">
        <f>SUM(IF(ISNUMBER(SEARCH("疾行",F18)),1.5,0), IF(ISNUMBER(SEARCH("渗透",F18)),1.5,0), IF(ISNUMBER(SEARCH("嘲讽",F18)),-1,0), IF(ISNUMBER(SEARCH("后勤",F18)),1,0))</f>
        <v>2.5</v>
      </c>
      <c r="N18" s="10">
        <v>2</v>
      </c>
      <c r="O18" s="10">
        <f>N18*2.2</f>
        <v>4.4000000000000004</v>
      </c>
      <c r="P18" s="10"/>
      <c r="Q18" s="10">
        <f>L18+M18+O18+P18</f>
        <v>21.15</v>
      </c>
      <c r="R18" s="10" t="s">
        <v>169</v>
      </c>
    </row>
    <row r="19" spans="1:18" ht="30" x14ac:dyDescent="0.2">
      <c r="A19" s="9">
        <v>18</v>
      </c>
      <c r="B19" s="10" t="s">
        <v>162</v>
      </c>
      <c r="C19" s="9" t="s">
        <v>49</v>
      </c>
      <c r="D19" s="9">
        <v>3</v>
      </c>
      <c r="E19" s="9">
        <v>18</v>
      </c>
      <c r="F19" s="9" t="s">
        <v>14</v>
      </c>
      <c r="G19" s="20" t="s">
        <v>50</v>
      </c>
      <c r="H19" s="9" t="s">
        <v>28</v>
      </c>
      <c r="I19" s="9"/>
      <c r="J19" s="9"/>
      <c r="K19" s="9"/>
      <c r="L19" s="10">
        <f>D19*2.2+E19*0.45</f>
        <v>14.7</v>
      </c>
      <c r="M19" s="10">
        <f>SUM(IF(ISNUMBER(SEARCH("疾行",F19)),1.5,0), IF(ISNUMBER(SEARCH("渗透",F19)),1.5,0), IF(ISNUMBER(SEARCH("嘲讽",F19)),-1,0), IF(ISNUMBER(SEARCH("后勤",F19)),1,0))</f>
        <v>1.5</v>
      </c>
      <c r="N19" s="10">
        <v>2</v>
      </c>
      <c r="O19" s="10">
        <f>N19*2.2</f>
        <v>4.4000000000000004</v>
      </c>
      <c r="P19" s="10"/>
      <c r="Q19" s="10">
        <f>L19+M19+O19+P19</f>
        <v>20.6</v>
      </c>
      <c r="R19" s="10" t="s">
        <v>169</v>
      </c>
    </row>
    <row r="20" spans="1:18" ht="30" x14ac:dyDescent="0.2">
      <c r="A20" s="9">
        <v>19</v>
      </c>
      <c r="B20" s="10" t="s">
        <v>162</v>
      </c>
      <c r="C20" s="9" t="s">
        <v>51</v>
      </c>
      <c r="D20" s="9">
        <v>1</v>
      </c>
      <c r="E20" s="9">
        <v>18</v>
      </c>
      <c r="F20" s="9" t="s">
        <v>20</v>
      </c>
      <c r="G20" s="20" t="s">
        <v>52</v>
      </c>
      <c r="H20" s="9" t="s">
        <v>53</v>
      </c>
      <c r="I20" s="9"/>
      <c r="J20" s="9"/>
      <c r="K20" s="9"/>
      <c r="L20" s="10">
        <f>D20*2.2+E20*0.45</f>
        <v>10.3</v>
      </c>
      <c r="M20" s="10">
        <f>SUM(IF(ISNUMBER(SEARCH("疾行",F20)),1.5,0), IF(ISNUMBER(SEARCH("渗透",F20)),1.5,0), IF(ISNUMBER(SEARCH("嘲讽",F20)),-1,0), IF(ISNUMBER(SEARCH("后勤",F20)),1,0))</f>
        <v>0</v>
      </c>
      <c r="N20" s="10">
        <v>3</v>
      </c>
      <c r="O20" s="10">
        <f>N20*2.2</f>
        <v>6.6000000000000005</v>
      </c>
      <c r="P20" s="10"/>
      <c r="Q20" s="10">
        <f>L20+M20+O20+P20</f>
        <v>16.900000000000002</v>
      </c>
      <c r="R20" s="10" t="s">
        <v>161</v>
      </c>
    </row>
    <row r="21" spans="1:18" ht="34.5" x14ac:dyDescent="0.2">
      <c r="A21" s="9">
        <v>20</v>
      </c>
      <c r="B21" s="10" t="s">
        <v>162</v>
      </c>
      <c r="C21" s="9" t="s">
        <v>54</v>
      </c>
      <c r="D21" s="9">
        <v>3</v>
      </c>
      <c r="E21" s="9">
        <v>19</v>
      </c>
      <c r="F21" s="9" t="s">
        <v>182</v>
      </c>
      <c r="G21" s="21" t="s">
        <v>181</v>
      </c>
      <c r="H21" s="9" t="s">
        <v>28</v>
      </c>
      <c r="I21" s="9" t="s">
        <v>55</v>
      </c>
      <c r="J21" s="9"/>
      <c r="K21" s="9"/>
      <c r="L21" s="10">
        <f>D21*2.2+E21*0.45</f>
        <v>15.150000000000002</v>
      </c>
      <c r="M21" s="10">
        <f>SUM(IF(ISNUMBER(SEARCH("疾行",F21)),1.5,0), IF(ISNUMBER(SEARCH("渗透",F21)),1.5,0), IF(ISNUMBER(SEARCH("嘲讽",F21)),-1,0), IF(ISNUMBER(SEARCH("后勤",F21)),1,0))</f>
        <v>0</v>
      </c>
      <c r="N21" s="10">
        <v>2</v>
      </c>
      <c r="O21" s="10">
        <f>N21*2.2</f>
        <v>4.4000000000000004</v>
      </c>
      <c r="P21" s="10"/>
      <c r="Q21" s="10">
        <f>L21+M21+O21+P21</f>
        <v>19.550000000000004</v>
      </c>
      <c r="R21" s="10" t="s">
        <v>169</v>
      </c>
    </row>
    <row r="22" spans="1:18" ht="45" x14ac:dyDescent="0.2">
      <c r="A22" s="9">
        <v>21</v>
      </c>
      <c r="B22" s="10" t="s">
        <v>165</v>
      </c>
      <c r="C22" s="9" t="s">
        <v>56</v>
      </c>
      <c r="D22" s="9">
        <v>3</v>
      </c>
      <c r="E22" s="9">
        <v>19</v>
      </c>
      <c r="F22" s="9" t="s">
        <v>20</v>
      </c>
      <c r="G22" s="20" t="s">
        <v>57</v>
      </c>
      <c r="H22" s="9" t="s">
        <v>58</v>
      </c>
      <c r="I22" s="9"/>
      <c r="J22" s="9"/>
      <c r="K22" s="9"/>
      <c r="L22" s="10">
        <f>D22*2.2+E22*0.45</f>
        <v>15.150000000000002</v>
      </c>
      <c r="M22" s="10">
        <f>SUM(IF(ISNUMBER(SEARCH("疾行",F22)),1.5,0), IF(ISNUMBER(SEARCH("渗透",F22)),1.5,0), IF(ISNUMBER(SEARCH("嘲讽",F22)),-1,0), IF(ISNUMBER(SEARCH("后勤",F22)),1,0))</f>
        <v>0</v>
      </c>
      <c r="N22" s="10">
        <v>1.5</v>
      </c>
      <c r="O22" s="10">
        <f>N22*2.2</f>
        <v>3.3000000000000003</v>
      </c>
      <c r="P22" s="10"/>
      <c r="Q22" s="10">
        <f>L22+M22+O22+P22</f>
        <v>18.450000000000003</v>
      </c>
      <c r="R22" s="10" t="s">
        <v>161</v>
      </c>
    </row>
    <row r="23" spans="1:18" ht="30" x14ac:dyDescent="0.2">
      <c r="A23" s="9">
        <v>22</v>
      </c>
      <c r="B23" s="10" t="s">
        <v>165</v>
      </c>
      <c r="C23" s="9" t="s">
        <v>59</v>
      </c>
      <c r="D23" s="9">
        <v>2</v>
      </c>
      <c r="E23" s="9">
        <v>21</v>
      </c>
      <c r="F23" s="9" t="s">
        <v>33</v>
      </c>
      <c r="G23" s="20" t="s">
        <v>212</v>
      </c>
      <c r="H23" s="9"/>
      <c r="I23" s="9"/>
      <c r="J23" s="9"/>
      <c r="K23" s="9"/>
      <c r="L23" s="10">
        <f>D23*2.2+E23*0.45</f>
        <v>13.850000000000001</v>
      </c>
      <c r="M23" s="10">
        <f>SUM(IF(ISNUMBER(SEARCH("疾行",F23)),1.5,0), IF(ISNUMBER(SEARCH("渗透",F23)),1.5,0), IF(ISNUMBER(SEARCH("嘲讽",F23)),-1,0), IF(ISNUMBER(SEARCH("后勤",F23)),1,0))</f>
        <v>-1</v>
      </c>
      <c r="N23" s="10">
        <v>3</v>
      </c>
      <c r="O23" s="10">
        <f>N23*0.45</f>
        <v>1.35</v>
      </c>
      <c r="P23" s="10">
        <v>4</v>
      </c>
      <c r="Q23" s="10">
        <f>L23+M23+O23+P23</f>
        <v>18.200000000000003</v>
      </c>
      <c r="R23" s="10" t="s">
        <v>170</v>
      </c>
    </row>
    <row r="24" spans="1:18" ht="15" x14ac:dyDescent="0.2">
      <c r="A24" s="9">
        <v>23</v>
      </c>
      <c r="B24" s="10" t="s">
        <v>162</v>
      </c>
      <c r="C24" s="9" t="s">
        <v>60</v>
      </c>
      <c r="D24" s="9">
        <v>2</v>
      </c>
      <c r="E24" s="9">
        <v>26</v>
      </c>
      <c r="F24" s="9" t="s">
        <v>33</v>
      </c>
      <c r="G24" s="20" t="s">
        <v>61</v>
      </c>
      <c r="H24" s="9"/>
      <c r="I24" s="9"/>
      <c r="J24" s="9"/>
      <c r="K24" s="9"/>
      <c r="L24" s="10">
        <f>D24*2.2+E24*0.45</f>
        <v>16.100000000000001</v>
      </c>
      <c r="M24" s="10">
        <f>SUM(IF(ISNUMBER(SEARCH("疾行",F24)),1.5,0), IF(ISNUMBER(SEARCH("渗透",F24)),1.5,0), IF(ISNUMBER(SEARCH("嘲讽",F24)),-1,0), IF(ISNUMBER(SEARCH("后勤",F24)),1,0))</f>
        <v>-1</v>
      </c>
      <c r="N24" s="10">
        <v>2</v>
      </c>
      <c r="O24" s="10">
        <f>N24*2.2</f>
        <v>4.4000000000000004</v>
      </c>
      <c r="P24" s="10"/>
      <c r="Q24" s="10">
        <f>L24+M24+O24+P24</f>
        <v>19.5</v>
      </c>
      <c r="R24" s="10" t="s">
        <v>170</v>
      </c>
    </row>
    <row r="25" spans="1:18" ht="45" x14ac:dyDescent="0.2">
      <c r="A25" s="9">
        <v>24</v>
      </c>
      <c r="B25" s="10" t="s">
        <v>162</v>
      </c>
      <c r="C25" s="9" t="s">
        <v>62</v>
      </c>
      <c r="D25" s="9">
        <v>2</v>
      </c>
      <c r="E25" s="9">
        <v>21</v>
      </c>
      <c r="F25" s="9" t="s">
        <v>33</v>
      </c>
      <c r="G25" s="20" t="s">
        <v>197</v>
      </c>
      <c r="H25" s="9"/>
      <c r="I25" s="9"/>
      <c r="J25" s="9"/>
      <c r="K25" s="9"/>
      <c r="L25" s="10">
        <f>D25*2.2+E25*0.45</f>
        <v>13.850000000000001</v>
      </c>
      <c r="M25" s="10">
        <f>SUM(IF(ISNUMBER(SEARCH("疾行",F25)),1.5,0), IF(ISNUMBER(SEARCH("渗透",F25)),1.5,0), IF(ISNUMBER(SEARCH("嘲讽",F25)),-1,0), IF(ISNUMBER(SEARCH("后勤",F25)),1,0))</f>
        <v>-1</v>
      </c>
      <c r="N25" s="10">
        <v>2</v>
      </c>
      <c r="O25" s="10">
        <f>N25*2.2</f>
        <v>4.4000000000000004</v>
      </c>
      <c r="P25" s="10"/>
      <c r="Q25" s="10">
        <f>L25+M25+O25+P25</f>
        <v>17.25</v>
      </c>
      <c r="R25" s="10" t="s">
        <v>170</v>
      </c>
    </row>
    <row r="26" spans="1:18" ht="34.5" x14ac:dyDescent="0.2">
      <c r="A26" s="9">
        <v>25</v>
      </c>
      <c r="B26" s="10" t="s">
        <v>162</v>
      </c>
      <c r="C26" s="9" t="s">
        <v>64</v>
      </c>
      <c r="D26" s="9">
        <v>2</v>
      </c>
      <c r="E26" s="9">
        <v>24</v>
      </c>
      <c r="F26" s="9" t="s">
        <v>33</v>
      </c>
      <c r="G26" s="21" t="s">
        <v>207</v>
      </c>
      <c r="H26" s="9"/>
      <c r="I26" s="9" t="s">
        <v>65</v>
      </c>
      <c r="J26" s="9"/>
      <c r="K26" s="9"/>
      <c r="L26" s="10">
        <f>D26*2.2+E26*0.45</f>
        <v>15.200000000000001</v>
      </c>
      <c r="M26" s="10">
        <f>SUM(IF(ISNUMBER(SEARCH("疾行",F26)),1.5,0), IF(ISNUMBER(SEARCH("渗透",F26)),1.5,0), IF(ISNUMBER(SEARCH("嘲讽",F26)),-1,0), IF(ISNUMBER(SEARCH("后勤",F26)),1,0))</f>
        <v>-1</v>
      </c>
      <c r="N26" s="10">
        <v>2</v>
      </c>
      <c r="O26" s="10">
        <f>N26*2.2</f>
        <v>4.4000000000000004</v>
      </c>
      <c r="P26" s="10"/>
      <c r="Q26" s="10">
        <f>L26+M26+O26+P26</f>
        <v>18.600000000000001</v>
      </c>
      <c r="R26" s="10" t="s">
        <v>170</v>
      </c>
    </row>
    <row r="27" spans="1:18" ht="34.5" x14ac:dyDescent="0.2">
      <c r="A27" s="9">
        <v>26</v>
      </c>
      <c r="B27" s="10" t="s">
        <v>162</v>
      </c>
      <c r="C27" s="9" t="s">
        <v>66</v>
      </c>
      <c r="D27" s="9">
        <v>2</v>
      </c>
      <c r="E27" s="9">
        <v>26</v>
      </c>
      <c r="F27" s="9" t="s">
        <v>131</v>
      </c>
      <c r="G27" s="20" t="s">
        <v>67</v>
      </c>
      <c r="H27" s="9"/>
      <c r="I27" s="9"/>
      <c r="J27" s="9"/>
      <c r="K27" s="9"/>
      <c r="L27" s="10">
        <f>D27*2.2+E27*0.45</f>
        <v>16.100000000000001</v>
      </c>
      <c r="M27" s="10">
        <f>SUM(IF(ISNUMBER(SEARCH("疾行",F27)),1.5,0), IF(ISNUMBER(SEARCH("渗透",F27)),1.5,0), IF(ISNUMBER(SEARCH("嘲讽",F27)),-1,0), IF(ISNUMBER(SEARCH("后勤",F27)),1,0))</f>
        <v>0.5</v>
      </c>
      <c r="N27" s="10">
        <v>1</v>
      </c>
      <c r="O27" s="10">
        <f>N27*2.2</f>
        <v>2.2000000000000002</v>
      </c>
      <c r="P27" s="10"/>
      <c r="Q27" s="10">
        <f>L27+M27+O27+P27</f>
        <v>18.8</v>
      </c>
      <c r="R27" s="10" t="s">
        <v>170</v>
      </c>
    </row>
    <row r="28" spans="1:18" ht="34.5" x14ac:dyDescent="0.2">
      <c r="A28" s="9">
        <v>27</v>
      </c>
      <c r="B28" s="10" t="s">
        <v>164</v>
      </c>
      <c r="C28" s="9" t="s">
        <v>68</v>
      </c>
      <c r="D28" s="9">
        <v>3</v>
      </c>
      <c r="E28" s="9">
        <v>20</v>
      </c>
      <c r="F28" s="9" t="s">
        <v>213</v>
      </c>
      <c r="G28" s="20" t="s">
        <v>69</v>
      </c>
      <c r="H28" s="9" t="s">
        <v>58</v>
      </c>
      <c r="I28" s="11"/>
      <c r="J28" s="9"/>
      <c r="K28" s="9"/>
      <c r="L28" s="10">
        <f>D28*2.2+E28*0.45</f>
        <v>15.600000000000001</v>
      </c>
      <c r="M28" s="10">
        <f>SUM(IF(ISNUMBER(SEARCH("疾行",F28)),1.5,0), IF(ISNUMBER(SEARCH("渗透",F28)),1.5,0), IF(ISNUMBER(SEARCH("嘲讽",F28)),-1,0), IF(ISNUMBER(SEARCH("后勤",F28)),1,0))</f>
        <v>3</v>
      </c>
      <c r="N28" s="10">
        <v>1.5</v>
      </c>
      <c r="O28" s="10">
        <f>N28*2.2</f>
        <v>3.3000000000000003</v>
      </c>
      <c r="P28" s="10"/>
      <c r="Q28" s="10">
        <f>L28+M28+O28+P28</f>
        <v>21.900000000000002</v>
      </c>
      <c r="R28" s="10" t="s">
        <v>161</v>
      </c>
    </row>
    <row r="29" spans="1:18" ht="51.75" x14ac:dyDescent="0.2">
      <c r="A29" s="9">
        <v>28</v>
      </c>
      <c r="B29" s="10" t="s">
        <v>165</v>
      </c>
      <c r="C29" s="9" t="s">
        <v>71</v>
      </c>
      <c r="D29" s="9">
        <v>3</v>
      </c>
      <c r="E29" s="9">
        <v>18</v>
      </c>
      <c r="F29" s="9"/>
      <c r="G29" s="22" t="s">
        <v>217</v>
      </c>
      <c r="H29" s="11" t="s">
        <v>126</v>
      </c>
      <c r="I29" s="9"/>
      <c r="J29" s="9"/>
      <c r="K29" s="9"/>
      <c r="L29" s="10">
        <f>D29*2.2+E29*0.45</f>
        <v>14.7</v>
      </c>
      <c r="M29" s="10">
        <f>SUM(IF(ISNUMBER(SEARCH("疾行",F29)),1.5,0), IF(ISNUMBER(SEARCH("渗透",F29)),1.5,0), IF(ISNUMBER(SEARCH("嘲讽",F29)),-1,0), IF(ISNUMBER(SEARCH("后勤",F29)),1,0))</f>
        <v>0</v>
      </c>
      <c r="N29" s="10">
        <v>2</v>
      </c>
      <c r="O29" s="10">
        <f>N29*2.2</f>
        <v>4.4000000000000004</v>
      </c>
      <c r="P29" s="10"/>
      <c r="Q29" s="10">
        <f>L29+M29+O29+P29</f>
        <v>19.100000000000001</v>
      </c>
      <c r="R29" s="10" t="s">
        <v>169</v>
      </c>
    </row>
    <row r="30" spans="1:18" ht="34.5" x14ac:dyDescent="0.2">
      <c r="A30" s="9">
        <v>29</v>
      </c>
      <c r="B30" s="10" t="s">
        <v>162</v>
      </c>
      <c r="C30" s="9" t="s">
        <v>72</v>
      </c>
      <c r="D30" s="9">
        <v>3</v>
      </c>
      <c r="E30" s="9">
        <v>16</v>
      </c>
      <c r="F30" s="9" t="s">
        <v>130</v>
      </c>
      <c r="G30" s="20" t="s">
        <v>73</v>
      </c>
      <c r="H30" s="9"/>
      <c r="I30" s="9"/>
      <c r="J30" s="9"/>
      <c r="K30" s="9"/>
      <c r="L30" s="10">
        <f>D30*2.2+E30*0.45</f>
        <v>13.8</v>
      </c>
      <c r="M30" s="10">
        <f>SUM(IF(ISNUMBER(SEARCH("疾行",F30)),1.5,0), IF(ISNUMBER(SEARCH("渗透",F30)),1.5,0), IF(ISNUMBER(SEARCH("嘲讽",F30)),-1,0), IF(ISNUMBER(SEARCH("后勤",F30)),1,0))</f>
        <v>1.5</v>
      </c>
      <c r="N30" s="10">
        <v>1.5</v>
      </c>
      <c r="O30" s="10">
        <f>N30*2.2</f>
        <v>3.3000000000000003</v>
      </c>
      <c r="P30" s="10"/>
      <c r="Q30" s="10">
        <f>L30+M30+O30+P30</f>
        <v>18.600000000000001</v>
      </c>
      <c r="R30" s="10" t="s">
        <v>169</v>
      </c>
    </row>
    <row r="31" spans="1:18" ht="69" x14ac:dyDescent="0.2">
      <c r="A31" s="9">
        <v>30</v>
      </c>
      <c r="B31" s="10" t="s">
        <v>164</v>
      </c>
      <c r="C31" s="9" t="s">
        <v>70</v>
      </c>
      <c r="D31" s="9">
        <v>3</v>
      </c>
      <c r="E31" s="9">
        <v>20</v>
      </c>
      <c r="F31" s="9"/>
      <c r="G31" s="20" t="s">
        <v>74</v>
      </c>
      <c r="H31" s="12" t="s">
        <v>128</v>
      </c>
      <c r="I31" s="9"/>
      <c r="J31" s="9"/>
      <c r="K31" s="12"/>
      <c r="L31" s="10">
        <f>D31*2.2+E31*0.45</f>
        <v>15.600000000000001</v>
      </c>
      <c r="M31" s="10">
        <f>SUM(IF(ISNUMBER(SEARCH("疾行",F31)),1.5,0), IF(ISNUMBER(SEARCH("渗透",F31)),1.5,0), IF(ISNUMBER(SEARCH("嘲讽",F31)),-1,0), IF(ISNUMBER(SEARCH("后勤",F31)),1,0))</f>
        <v>0</v>
      </c>
      <c r="N31" s="10">
        <v>2</v>
      </c>
      <c r="O31" s="10">
        <f>N31*2.2</f>
        <v>4.4000000000000004</v>
      </c>
      <c r="P31" s="10"/>
      <c r="Q31" s="10">
        <f>L31+M31+O31+P31</f>
        <v>20</v>
      </c>
      <c r="R31" s="10" t="s">
        <v>169</v>
      </c>
    </row>
    <row r="32" spans="1:18" ht="17.25" x14ac:dyDescent="0.2">
      <c r="A32" s="9">
        <v>31</v>
      </c>
      <c r="B32" s="10" t="s">
        <v>164</v>
      </c>
      <c r="C32" s="9" t="s">
        <v>75</v>
      </c>
      <c r="D32" s="9">
        <v>3</v>
      </c>
      <c r="E32" s="9">
        <v>18</v>
      </c>
      <c r="F32" s="9" t="s">
        <v>76</v>
      </c>
      <c r="G32" s="21" t="s">
        <v>183</v>
      </c>
      <c r="H32" s="9"/>
      <c r="I32" s="9"/>
      <c r="J32" s="9"/>
      <c r="K32" s="9"/>
      <c r="L32" s="10">
        <f>D32*2.2+E32*0.45</f>
        <v>14.7</v>
      </c>
      <c r="M32" s="10">
        <f>SUM(IF(ISNUMBER(SEARCH("疾行",F32)),1.5,0), IF(ISNUMBER(SEARCH("渗透",F32)),1.5,0), IF(ISNUMBER(SEARCH("嘲讽",F32)),-1,0), IF(ISNUMBER(SEARCH("后勤",F32)),1,0))</f>
        <v>1</v>
      </c>
      <c r="N32" s="10">
        <v>1</v>
      </c>
      <c r="O32" s="10">
        <f>N32*2.2</f>
        <v>2.2000000000000002</v>
      </c>
      <c r="P32" s="10"/>
      <c r="Q32" s="10">
        <f>L32+M32+O32+P32</f>
        <v>17.899999999999999</v>
      </c>
      <c r="R32" s="10" t="s">
        <v>169</v>
      </c>
    </row>
    <row r="33" spans="1:18" ht="30" x14ac:dyDescent="0.2">
      <c r="A33" s="9">
        <v>32</v>
      </c>
      <c r="B33" s="10" t="s">
        <v>166</v>
      </c>
      <c r="C33" s="9" t="s">
        <v>77</v>
      </c>
      <c r="D33" s="9">
        <v>2</v>
      </c>
      <c r="E33" s="9">
        <v>24</v>
      </c>
      <c r="F33" s="9"/>
      <c r="G33" s="20" t="s">
        <v>78</v>
      </c>
      <c r="H33" s="9" t="s">
        <v>28</v>
      </c>
      <c r="I33" s="9"/>
      <c r="J33" s="9"/>
      <c r="K33" s="9"/>
      <c r="L33" s="10">
        <f>D33*2.2+E33*0.45</f>
        <v>15.200000000000001</v>
      </c>
      <c r="M33" s="10">
        <f>SUM(IF(ISNUMBER(SEARCH("疾行",F33)),1.5,0), IF(ISNUMBER(SEARCH("渗透",F33)),1.5,0), IF(ISNUMBER(SEARCH("嘲讽",F33)),-1,0), IF(ISNUMBER(SEARCH("后勤",F33)),1,0))</f>
        <v>0</v>
      </c>
      <c r="N33" s="10">
        <v>1.5</v>
      </c>
      <c r="O33" s="10">
        <f>N33*2.2</f>
        <v>3.3000000000000003</v>
      </c>
      <c r="P33" s="10"/>
      <c r="Q33" s="10">
        <f>L33+M33+O33+P33</f>
        <v>18.5</v>
      </c>
      <c r="R33" s="10" t="s">
        <v>169</v>
      </c>
    </row>
    <row r="34" spans="1:18" ht="34.5" x14ac:dyDescent="0.2">
      <c r="A34" s="9">
        <v>33</v>
      </c>
      <c r="B34" s="10" t="s">
        <v>164</v>
      </c>
      <c r="C34" s="9" t="s">
        <v>37</v>
      </c>
      <c r="D34" s="9">
        <v>1</v>
      </c>
      <c r="E34" s="9">
        <v>18</v>
      </c>
      <c r="F34" s="9" t="s">
        <v>20</v>
      </c>
      <c r="G34" s="21" t="s">
        <v>208</v>
      </c>
      <c r="H34" s="9" t="s">
        <v>79</v>
      </c>
      <c r="I34" s="9"/>
      <c r="J34" s="9"/>
      <c r="K34" s="9"/>
      <c r="L34" s="10">
        <f>D34*2.2+E34*0.45</f>
        <v>10.3</v>
      </c>
      <c r="M34" s="10">
        <f>SUM(IF(ISNUMBER(SEARCH("疾行",F34)),1.5,0), IF(ISNUMBER(SEARCH("渗透",F34)),1.5,0), IF(ISNUMBER(SEARCH("嘲讽",F34)),-1,0), IF(ISNUMBER(SEARCH("后勤",F34)),1,0))</f>
        <v>0</v>
      </c>
      <c r="N34" s="10">
        <v>2.5</v>
      </c>
      <c r="O34" s="10">
        <f>N34*2.2</f>
        <v>5.5</v>
      </c>
      <c r="P34" s="10"/>
      <c r="Q34" s="10">
        <f>L34+M34+O34+P34</f>
        <v>15.8</v>
      </c>
      <c r="R34" s="10" t="s">
        <v>169</v>
      </c>
    </row>
    <row r="35" spans="1:18" ht="57" x14ac:dyDescent="0.2">
      <c r="A35" s="9">
        <v>34</v>
      </c>
      <c r="B35" s="10" t="s">
        <v>164</v>
      </c>
      <c r="C35" s="9" t="s">
        <v>80</v>
      </c>
      <c r="D35" s="9">
        <v>3</v>
      </c>
      <c r="E35" s="9">
        <v>15</v>
      </c>
      <c r="F35" s="9" t="s">
        <v>132</v>
      </c>
      <c r="G35" s="20" t="s">
        <v>81</v>
      </c>
      <c r="H35" s="11" t="s">
        <v>129</v>
      </c>
      <c r="I35" s="11" t="s">
        <v>126</v>
      </c>
      <c r="J35" s="9"/>
      <c r="K35" s="9"/>
      <c r="L35" s="10">
        <f>D35*2.2+E35*0.45</f>
        <v>13.350000000000001</v>
      </c>
      <c r="M35" s="10">
        <f>SUM(IF(ISNUMBER(SEARCH("疾行",F35)),1.5,0), IF(ISNUMBER(SEARCH("渗透",F35)),1.5,0), IF(ISNUMBER(SEARCH("嘲讽",F35)),-1,0), IF(ISNUMBER(SEARCH("后勤",F35)),1,0))</f>
        <v>1.5</v>
      </c>
      <c r="N35" s="10">
        <v>3</v>
      </c>
      <c r="O35" s="10">
        <f>N35*2.2</f>
        <v>6.6000000000000005</v>
      </c>
      <c r="P35" s="10"/>
      <c r="Q35" s="10">
        <f>L35+M35+O35+P35</f>
        <v>21.450000000000003</v>
      </c>
      <c r="R35" s="10" t="s">
        <v>161</v>
      </c>
    </row>
    <row r="36" spans="1:18" ht="51.75" x14ac:dyDescent="0.2">
      <c r="A36" s="9">
        <v>35</v>
      </c>
      <c r="B36" s="10" t="s">
        <v>167</v>
      </c>
      <c r="C36" s="12" t="s">
        <v>168</v>
      </c>
      <c r="D36" s="9">
        <v>3</v>
      </c>
      <c r="E36" s="9">
        <v>20</v>
      </c>
      <c r="F36" s="9" t="s">
        <v>20</v>
      </c>
      <c r="G36" s="21" t="s">
        <v>180</v>
      </c>
      <c r="H36" s="12" t="s">
        <v>220</v>
      </c>
      <c r="I36" s="9"/>
      <c r="J36" s="9"/>
      <c r="K36" s="9"/>
      <c r="L36" s="10">
        <f>D36*2.2+E36*0.45</f>
        <v>15.600000000000001</v>
      </c>
      <c r="M36" s="10">
        <f>SUM(IF(ISNUMBER(SEARCH("疾行",F36)),1.5,0), IF(ISNUMBER(SEARCH("渗透",F36)),1.5,0), IF(ISNUMBER(SEARCH("嘲讽",F36)),-1,0), IF(ISNUMBER(SEARCH("后勤",F36)),1,0))</f>
        <v>0</v>
      </c>
      <c r="N36" s="10">
        <v>2</v>
      </c>
      <c r="O36" s="10">
        <f>N36*2.2</f>
        <v>4.4000000000000004</v>
      </c>
      <c r="P36" s="10"/>
      <c r="Q36" s="10">
        <f>L36+M36+O36+P36</f>
        <v>20</v>
      </c>
      <c r="R36" s="10" t="s">
        <v>169</v>
      </c>
    </row>
    <row r="37" spans="1:18" ht="34.5" x14ac:dyDescent="0.2">
      <c r="A37" s="9">
        <v>36</v>
      </c>
      <c r="B37" s="10" t="s">
        <v>167</v>
      </c>
      <c r="C37" s="9" t="s">
        <v>82</v>
      </c>
      <c r="D37" s="9">
        <v>2</v>
      </c>
      <c r="E37" s="9">
        <v>20</v>
      </c>
      <c r="F37" s="9" t="s">
        <v>133</v>
      </c>
      <c r="G37" s="20" t="s">
        <v>83</v>
      </c>
      <c r="H37" s="9"/>
      <c r="I37" s="9"/>
      <c r="J37" s="9"/>
      <c r="K37" s="9"/>
      <c r="L37" s="10">
        <f>D37*2.2+E37*0.45</f>
        <v>13.4</v>
      </c>
      <c r="M37" s="10">
        <f>SUM(IF(ISNUMBER(SEARCH("疾行",F37)),1.5,0), IF(ISNUMBER(SEARCH("渗透",F37)),1.5,0), IF(ISNUMBER(SEARCH("嘲讽",F37)),-1,0), IF(ISNUMBER(SEARCH("后勤",F37)),1,0))</f>
        <v>-1</v>
      </c>
      <c r="N37" s="10">
        <v>8</v>
      </c>
      <c r="O37" s="10">
        <f>N37*0.45</f>
        <v>3.6</v>
      </c>
      <c r="P37" s="10"/>
      <c r="Q37" s="10">
        <f>L37+M37+O37+P37</f>
        <v>16</v>
      </c>
      <c r="R37" s="10" t="s">
        <v>170</v>
      </c>
    </row>
    <row r="38" spans="1:18" ht="51.75" x14ac:dyDescent="0.2">
      <c r="A38" s="9">
        <v>37</v>
      </c>
      <c r="B38" s="10" t="s">
        <v>166</v>
      </c>
      <c r="C38" s="9" t="s">
        <v>84</v>
      </c>
      <c r="D38" s="9">
        <v>2</v>
      </c>
      <c r="E38" s="9">
        <v>20</v>
      </c>
      <c r="F38" s="9"/>
      <c r="G38" s="21" t="s">
        <v>209</v>
      </c>
      <c r="H38" s="26" t="s">
        <v>215</v>
      </c>
      <c r="I38" s="9"/>
      <c r="J38" s="9"/>
      <c r="K38" s="9"/>
      <c r="L38" s="10">
        <f>D38*2.2+E38*0.45</f>
        <v>13.4</v>
      </c>
      <c r="M38" s="10">
        <f>SUM(IF(ISNUMBER(SEARCH("疾行",F38)),1.5,0), IF(ISNUMBER(SEARCH("渗透",F38)),1.5,0), IF(ISNUMBER(SEARCH("嘲讽",F38)),-1,0), IF(ISNUMBER(SEARCH("后勤",F38)),1,0))</f>
        <v>0</v>
      </c>
      <c r="N38" s="10">
        <v>2</v>
      </c>
      <c r="O38" s="10">
        <f>N38*2.2</f>
        <v>4.4000000000000004</v>
      </c>
      <c r="P38" s="10"/>
      <c r="Q38" s="10">
        <f>L38+M38+O38+P38</f>
        <v>17.8</v>
      </c>
      <c r="R38" s="10" t="s">
        <v>169</v>
      </c>
    </row>
    <row r="39" spans="1:18" ht="30" x14ac:dyDescent="0.2">
      <c r="A39" s="9">
        <v>38</v>
      </c>
      <c r="B39" s="10" t="s">
        <v>167</v>
      </c>
      <c r="C39" s="9" t="s">
        <v>85</v>
      </c>
      <c r="D39" s="9">
        <v>0</v>
      </c>
      <c r="E39" s="9">
        <v>27</v>
      </c>
      <c r="F39" s="9" t="s">
        <v>76</v>
      </c>
      <c r="G39" s="20" t="s">
        <v>86</v>
      </c>
      <c r="H39" s="9"/>
      <c r="I39" s="9"/>
      <c r="J39" s="9"/>
      <c r="K39" s="9"/>
      <c r="L39" s="10">
        <f>D39*2.2+E39*0.45</f>
        <v>12.15</v>
      </c>
      <c r="M39" s="10">
        <f>SUM(IF(ISNUMBER(SEARCH("疾行",F39)),1.5,0), IF(ISNUMBER(SEARCH("渗透",F39)),1.5,0), IF(ISNUMBER(SEARCH("嘲讽",F39)),-1,0), IF(ISNUMBER(SEARCH("后勤",F39)),1,0))</f>
        <v>1</v>
      </c>
      <c r="N39" s="10">
        <v>2</v>
      </c>
      <c r="O39" s="10">
        <f>N39*2.2</f>
        <v>4.4000000000000004</v>
      </c>
      <c r="P39" s="10"/>
      <c r="Q39" s="10">
        <f>L39+M39+O39+P39</f>
        <v>17.55</v>
      </c>
      <c r="R39" s="10" t="s">
        <v>169</v>
      </c>
    </row>
    <row r="40" spans="1:18" ht="30" x14ac:dyDescent="0.2">
      <c r="A40" s="9">
        <v>39</v>
      </c>
      <c r="B40" s="10" t="s">
        <v>166</v>
      </c>
      <c r="C40" s="9" t="s">
        <v>87</v>
      </c>
      <c r="D40" s="9">
        <v>3</v>
      </c>
      <c r="E40" s="9">
        <v>17</v>
      </c>
      <c r="F40" s="9" t="s">
        <v>45</v>
      </c>
      <c r="G40" s="20" t="s">
        <v>88</v>
      </c>
      <c r="H40" s="9"/>
      <c r="I40" s="9"/>
      <c r="J40" s="9"/>
      <c r="K40" s="9"/>
      <c r="L40" s="10">
        <f>D40*2.2+E40*0.45</f>
        <v>14.25</v>
      </c>
      <c r="M40" s="10">
        <f>SUM(IF(ISNUMBER(SEARCH("疾行",F40)),1.5,0), IF(ISNUMBER(SEARCH("渗透",F40)),1.5,0), IF(ISNUMBER(SEARCH("嘲讽",F40)),-1,0), IF(ISNUMBER(SEARCH("后勤",F40)),1,0))</f>
        <v>0</v>
      </c>
      <c r="N40" s="10">
        <v>2</v>
      </c>
      <c r="O40" s="10">
        <f>N40*2.2</f>
        <v>4.4000000000000004</v>
      </c>
      <c r="P40" s="10"/>
      <c r="Q40" s="10">
        <f>L40+M40+O40+P40</f>
        <v>18.649999999999999</v>
      </c>
      <c r="R40" s="10" t="s">
        <v>161</v>
      </c>
    </row>
    <row r="41" spans="1:18" ht="34.5" x14ac:dyDescent="0.2">
      <c r="A41" s="9">
        <v>40</v>
      </c>
      <c r="B41" s="10" t="s">
        <v>162</v>
      </c>
      <c r="C41" s="9" t="s">
        <v>89</v>
      </c>
      <c r="D41" s="9">
        <v>5</v>
      </c>
      <c r="E41" s="9">
        <v>13</v>
      </c>
      <c r="F41" s="9"/>
      <c r="G41" s="21" t="s">
        <v>179</v>
      </c>
      <c r="H41" s="11"/>
      <c r="I41" s="9"/>
      <c r="J41" s="9"/>
      <c r="K41" s="9"/>
      <c r="L41" s="10">
        <f>D41*2.2+E41*0.45</f>
        <v>16.850000000000001</v>
      </c>
      <c r="M41" s="10">
        <f>SUM(IF(ISNUMBER(SEARCH("疾行",F41)),1.5,0), IF(ISNUMBER(SEARCH("渗透",F41)),1.5,0), IF(ISNUMBER(SEARCH("嘲讽",F41)),-1,0), IF(ISNUMBER(SEARCH("后勤",F41)),1,0))</f>
        <v>0</v>
      </c>
      <c r="N41" s="10">
        <v>2</v>
      </c>
      <c r="O41" s="10">
        <f>N41*2.2</f>
        <v>4.4000000000000004</v>
      </c>
      <c r="P41" s="10"/>
      <c r="Q41" s="10">
        <f>L41+M41+O41+P41</f>
        <v>21.25</v>
      </c>
      <c r="R41" s="10" t="s">
        <v>169</v>
      </c>
    </row>
    <row r="42" spans="1:18" ht="51.75" x14ac:dyDescent="0.2">
      <c r="A42" s="9">
        <v>41</v>
      </c>
      <c r="B42" s="10" t="s">
        <v>164</v>
      </c>
      <c r="C42" s="9" t="s">
        <v>90</v>
      </c>
      <c r="D42" s="9">
        <v>2</v>
      </c>
      <c r="E42" s="9">
        <v>24</v>
      </c>
      <c r="F42" s="9"/>
      <c r="G42" s="21" t="s">
        <v>184</v>
      </c>
      <c r="H42" s="9" t="s">
        <v>58</v>
      </c>
      <c r="I42" s="9"/>
      <c r="J42" s="9"/>
      <c r="K42" s="9"/>
      <c r="L42" s="10">
        <f>D42*2.2+E42*0.45</f>
        <v>15.200000000000001</v>
      </c>
      <c r="M42" s="10">
        <f>SUM(IF(ISNUMBER(SEARCH("疾行",F42)),1.5,0), IF(ISNUMBER(SEARCH("渗透",F42)),1.5,0), IF(ISNUMBER(SEARCH("嘲讽",F42)),-1,0), IF(ISNUMBER(SEARCH("后勤",F42)),1,0))</f>
        <v>0</v>
      </c>
      <c r="N42" s="10">
        <v>1</v>
      </c>
      <c r="O42" s="10">
        <f>N42*2.2</f>
        <v>2.2000000000000002</v>
      </c>
      <c r="P42" s="10"/>
      <c r="Q42" s="10">
        <f>L42+M42+O42+P42</f>
        <v>17.400000000000002</v>
      </c>
      <c r="R42" s="10" t="s">
        <v>161</v>
      </c>
    </row>
    <row r="43" spans="1:18" ht="51.75" x14ac:dyDescent="0.2">
      <c r="A43" s="9">
        <v>42</v>
      </c>
      <c r="B43" s="10" t="s">
        <v>162</v>
      </c>
      <c r="C43" s="9" t="s">
        <v>91</v>
      </c>
      <c r="D43" s="9">
        <v>2</v>
      </c>
      <c r="E43" s="9">
        <v>18</v>
      </c>
      <c r="F43" s="9" t="s">
        <v>14</v>
      </c>
      <c r="G43" s="21" t="s">
        <v>178</v>
      </c>
      <c r="H43" s="9"/>
      <c r="I43" s="9"/>
      <c r="J43" s="9"/>
      <c r="K43" s="9"/>
      <c r="L43" s="10">
        <f>D43*2.2+E43*0.45</f>
        <v>12.5</v>
      </c>
      <c r="M43" s="10">
        <f>SUM(IF(ISNUMBER(SEARCH("疾行",F43)),1.5,0), IF(ISNUMBER(SEARCH("渗透",F43)),1.5,0), IF(ISNUMBER(SEARCH("嘲讽",F43)),-1,0), IF(ISNUMBER(SEARCH("后勤",F43)),1,0))</f>
        <v>1.5</v>
      </c>
      <c r="N43" s="10">
        <v>3</v>
      </c>
      <c r="O43" s="10">
        <f>N43*2.2</f>
        <v>6.6000000000000005</v>
      </c>
      <c r="P43" s="10"/>
      <c r="Q43" s="10">
        <f>L43+M43+O43+P43</f>
        <v>20.6</v>
      </c>
      <c r="R43" s="10" t="s">
        <v>169</v>
      </c>
    </row>
    <row r="44" spans="1:18" ht="30" x14ac:dyDescent="0.2">
      <c r="A44" s="9">
        <v>43</v>
      </c>
      <c r="B44" s="10" t="s">
        <v>165</v>
      </c>
      <c r="C44" s="9" t="s">
        <v>63</v>
      </c>
      <c r="D44" s="9">
        <v>1</v>
      </c>
      <c r="E44" s="9">
        <v>14</v>
      </c>
      <c r="F44" s="9" t="s">
        <v>20</v>
      </c>
      <c r="G44" s="20" t="s">
        <v>92</v>
      </c>
      <c r="H44" s="9"/>
      <c r="I44" s="9"/>
      <c r="J44" s="9"/>
      <c r="K44" s="9"/>
      <c r="L44" s="10">
        <f>D44*2.2+E44*0.45</f>
        <v>8.5</v>
      </c>
      <c r="M44" s="10">
        <f>SUM(IF(ISNUMBER(SEARCH("疾行",F44)),1.5,0), IF(ISNUMBER(SEARCH("渗透",F44)),1.5,0), IF(ISNUMBER(SEARCH("嘲讽",F44)),-1,0), IF(ISNUMBER(SEARCH("后勤",F44)),1,0))</f>
        <v>0</v>
      </c>
      <c r="N44" s="10">
        <v>6</v>
      </c>
      <c r="O44" s="10">
        <f>N44*0.45</f>
        <v>2.7</v>
      </c>
      <c r="P44" s="10">
        <v>4</v>
      </c>
      <c r="Q44" s="10">
        <f>L44+M44+O44+P44</f>
        <v>15.2</v>
      </c>
      <c r="R44" s="10" t="s">
        <v>161</v>
      </c>
    </row>
    <row r="45" spans="1:18" ht="45" x14ac:dyDescent="0.2">
      <c r="A45" s="9">
        <v>44</v>
      </c>
      <c r="B45" s="10" t="s">
        <v>164</v>
      </c>
      <c r="C45" s="9" t="s">
        <v>93</v>
      </c>
      <c r="D45" s="9">
        <v>2</v>
      </c>
      <c r="E45" s="9">
        <v>26</v>
      </c>
      <c r="F45" s="9" t="s">
        <v>33</v>
      </c>
      <c r="G45" s="20" t="s">
        <v>94</v>
      </c>
      <c r="H45" s="9"/>
      <c r="I45" s="9" t="s">
        <v>95</v>
      </c>
      <c r="J45" s="9"/>
      <c r="K45" s="9"/>
      <c r="L45" s="10">
        <f>D45*2.2+E45*0.45</f>
        <v>16.100000000000001</v>
      </c>
      <c r="M45" s="10">
        <f>SUM(IF(ISNUMBER(SEARCH("疾行",F45)),1.5,0), IF(ISNUMBER(SEARCH("渗透",F45)),1.5,0), IF(ISNUMBER(SEARCH("嘲讽",F45)),-1,0), IF(ISNUMBER(SEARCH("后勤",F45)),1,0))</f>
        <v>-1</v>
      </c>
      <c r="N45" s="10">
        <v>2</v>
      </c>
      <c r="O45" s="10">
        <f>N45*2.2</f>
        <v>4.4000000000000004</v>
      </c>
      <c r="P45" s="10"/>
      <c r="Q45" s="10">
        <f>L45+M45+O45+P45</f>
        <v>19.5</v>
      </c>
      <c r="R45" s="10" t="s">
        <v>170</v>
      </c>
    </row>
    <row r="46" spans="1:18" ht="60" x14ac:dyDescent="0.2">
      <c r="A46" s="9">
        <v>45</v>
      </c>
      <c r="B46" s="10" t="s">
        <v>162</v>
      </c>
      <c r="C46" s="9" t="s">
        <v>96</v>
      </c>
      <c r="D46" s="9">
        <v>3</v>
      </c>
      <c r="E46" s="9">
        <v>16</v>
      </c>
      <c r="F46" s="9" t="s">
        <v>20</v>
      </c>
      <c r="G46" s="20" t="s">
        <v>97</v>
      </c>
      <c r="H46" s="9"/>
      <c r="I46" s="9"/>
      <c r="J46" s="9"/>
      <c r="K46" s="9"/>
      <c r="L46" s="10">
        <f>D46*2.2+E46*0.45</f>
        <v>13.8</v>
      </c>
      <c r="M46" s="10">
        <f>SUM(IF(ISNUMBER(SEARCH("疾行",F46)),1.5,0), IF(ISNUMBER(SEARCH("渗透",F46)),1.5,0), IF(ISNUMBER(SEARCH("嘲讽",F46)),-1,0), IF(ISNUMBER(SEARCH("后勤",F46)),1,0))</f>
        <v>0</v>
      </c>
      <c r="N46" s="10">
        <v>2</v>
      </c>
      <c r="O46" s="10">
        <f>N46*2.2</f>
        <v>4.4000000000000004</v>
      </c>
      <c r="P46" s="10"/>
      <c r="Q46" s="10">
        <f>L46+M46+O46+P46</f>
        <v>18.200000000000003</v>
      </c>
      <c r="R46" s="10" t="s">
        <v>160</v>
      </c>
    </row>
    <row r="47" spans="1:18" ht="34.5" x14ac:dyDescent="0.2">
      <c r="A47" s="9">
        <v>46</v>
      </c>
      <c r="B47" s="10" t="s">
        <v>164</v>
      </c>
      <c r="C47" s="9" t="s">
        <v>98</v>
      </c>
      <c r="D47" s="9">
        <v>2</v>
      </c>
      <c r="E47" s="9">
        <v>19</v>
      </c>
      <c r="F47" s="9" t="s">
        <v>99</v>
      </c>
      <c r="G47" s="21" t="s">
        <v>221</v>
      </c>
      <c r="H47" s="9"/>
      <c r="I47" s="11" t="s">
        <v>218</v>
      </c>
      <c r="J47" s="9"/>
      <c r="K47" s="9"/>
      <c r="L47" s="10">
        <f>D47*2.2+E47*0.45</f>
        <v>12.950000000000001</v>
      </c>
      <c r="M47" s="10">
        <f>SUM(IF(ISNUMBER(SEARCH("疾行",F47)),1.5,0), IF(ISNUMBER(SEARCH("渗透",F47)),1.5,0), IF(ISNUMBER(SEARCH("嘲讽",F47)),-1,0), IF(ISNUMBER(SEARCH("后勤",F47)),1,0))</f>
        <v>1.5</v>
      </c>
      <c r="N47" s="10">
        <v>2</v>
      </c>
      <c r="O47" s="10">
        <f>N47*2.2</f>
        <v>4.4000000000000004</v>
      </c>
      <c r="P47" s="10"/>
      <c r="Q47" s="10">
        <f>L47+M47+O47+P47</f>
        <v>18.850000000000001</v>
      </c>
      <c r="R47" s="10" t="s">
        <v>169</v>
      </c>
    </row>
    <row r="48" spans="1:18" ht="30" x14ac:dyDescent="0.2">
      <c r="A48" s="9">
        <v>47</v>
      </c>
      <c r="B48" s="10" t="s">
        <v>165</v>
      </c>
      <c r="C48" s="9" t="s">
        <v>100</v>
      </c>
      <c r="D48" s="9">
        <v>0</v>
      </c>
      <c r="E48" s="9">
        <v>18</v>
      </c>
      <c r="F48" s="9" t="s">
        <v>14</v>
      </c>
      <c r="G48" s="20" t="s">
        <v>101</v>
      </c>
      <c r="H48" s="11" t="s">
        <v>157</v>
      </c>
      <c r="I48" s="9"/>
      <c r="J48" s="9"/>
      <c r="K48" s="9"/>
      <c r="L48" s="10">
        <f>D48*2.2+E48*0.45</f>
        <v>8.1</v>
      </c>
      <c r="M48" s="10">
        <f>SUM(IF(ISNUMBER(SEARCH("疾行",F48)),1.5,0), IF(ISNUMBER(SEARCH("渗透",F48)),1.5,0), IF(ISNUMBER(SEARCH("嘲讽",F48)),-1,0), IF(ISNUMBER(SEARCH("后勤",F48)),1,0))</f>
        <v>1.5</v>
      </c>
      <c r="N48" s="10">
        <v>4</v>
      </c>
      <c r="O48" s="10">
        <f>N48*2.2</f>
        <v>8.8000000000000007</v>
      </c>
      <c r="P48" s="10"/>
      <c r="Q48" s="10">
        <f>L48+M48+O48+P48</f>
        <v>18.399999999999999</v>
      </c>
      <c r="R48" s="10" t="s">
        <v>169</v>
      </c>
    </row>
    <row r="49" spans="1:18" ht="28.5" x14ac:dyDescent="0.2">
      <c r="A49" s="9">
        <v>48</v>
      </c>
      <c r="B49" s="10" t="s">
        <v>167</v>
      </c>
      <c r="C49" s="11" t="s">
        <v>193</v>
      </c>
      <c r="D49" s="9">
        <v>1</v>
      </c>
      <c r="E49" s="9">
        <v>36</v>
      </c>
      <c r="F49" s="9" t="s">
        <v>33</v>
      </c>
      <c r="G49" s="23" t="s">
        <v>211</v>
      </c>
      <c r="H49" s="11"/>
      <c r="I49" s="9"/>
      <c r="J49" s="9"/>
      <c r="K49" s="9"/>
      <c r="L49" s="10">
        <f>D49*2.2+E49*0.45</f>
        <v>18.399999999999999</v>
      </c>
      <c r="M49" s="10">
        <f>SUM(IF(ISNUMBER(SEARCH("疾行",F49)),1.5,0), IF(ISNUMBER(SEARCH("渗透",F49)),1.5,0), IF(ISNUMBER(SEARCH("嘲讽",F49)),-1,0), IF(ISNUMBER(SEARCH("后勤",F49)),1,0))</f>
        <v>-1</v>
      </c>
      <c r="N49" s="10">
        <v>3</v>
      </c>
      <c r="O49" s="10">
        <f>N49*0.45</f>
        <v>1.35</v>
      </c>
      <c r="P49" s="10"/>
      <c r="Q49" s="10">
        <f>L49+M49+O49+P49</f>
        <v>18.75</v>
      </c>
      <c r="R49" s="10" t="s">
        <v>170</v>
      </c>
    </row>
    <row r="50" spans="1:18" ht="28.5" x14ac:dyDescent="0.2">
      <c r="A50" s="4">
        <v>49</v>
      </c>
      <c r="B50" s="4" t="s">
        <v>165</v>
      </c>
      <c r="C50" s="4" t="s">
        <v>196</v>
      </c>
      <c r="D50" s="4">
        <v>2</v>
      </c>
      <c r="E50" s="4">
        <v>22</v>
      </c>
      <c r="F50" s="9" t="s">
        <v>33</v>
      </c>
      <c r="G50" s="21" t="s">
        <v>206</v>
      </c>
      <c r="H50" s="4"/>
      <c r="I50" s="34" t="s">
        <v>219</v>
      </c>
      <c r="J50" s="4"/>
      <c r="K50" s="4"/>
      <c r="L50" s="10">
        <f>D50*2.2+E50*0.45</f>
        <v>14.3</v>
      </c>
      <c r="M50" s="10">
        <f>SUM(IF(ISNUMBER(SEARCH("疾行",F50)),1.5,0), IF(ISNUMBER(SEARCH("渗透",F50)),1.5,0), IF(ISNUMBER(SEARCH("嘲讽",F50)),-1,0), IF(ISNUMBER(SEARCH("后勤",F50)),1,0))</f>
        <v>-1</v>
      </c>
      <c r="N50" s="10"/>
      <c r="O50" s="10">
        <f>N50*0.45</f>
        <v>0</v>
      </c>
      <c r="P50" s="10">
        <v>4</v>
      </c>
      <c r="Q50" s="10">
        <f>L50+M50+O50+P50</f>
        <v>17.3</v>
      </c>
      <c r="R50" s="10" t="s">
        <v>170</v>
      </c>
    </row>
    <row r="51" spans="1:18" ht="15" x14ac:dyDescent="0.2">
      <c r="A51" s="9" t="s">
        <v>102</v>
      </c>
      <c r="B51" s="9" t="s">
        <v>103</v>
      </c>
      <c r="C51" s="9" t="s">
        <v>104</v>
      </c>
      <c r="D51" s="9">
        <v>1</v>
      </c>
      <c r="E51" s="9">
        <v>1</v>
      </c>
      <c r="F51" s="9"/>
      <c r="G51" s="20" t="s">
        <v>105</v>
      </c>
      <c r="H51" s="9"/>
      <c r="I51" s="9"/>
      <c r="J51" s="9"/>
      <c r="K51" s="9"/>
      <c r="L51" s="10">
        <f>D51*2.2+E51*0.45</f>
        <v>2.6500000000000004</v>
      </c>
      <c r="M51" s="10">
        <f>SUM(IF(ISNUMBER(SEARCH("疾行",F51)),1.5,0), IF(ISNUMBER(SEARCH("渗透",F51)),1.5,0), IF(ISNUMBER(SEARCH("嘲讽",F51)),-1,0), IF(ISNUMBER(SEARCH("后勤",F51)),1,0))</f>
        <v>0</v>
      </c>
      <c r="N51" s="10"/>
      <c r="O51" s="10"/>
      <c r="P51" s="10"/>
      <c r="Q51" s="10"/>
      <c r="R51" s="10"/>
    </row>
    <row r="52" spans="1:18" ht="15" x14ac:dyDescent="0.2">
      <c r="A52" s="9"/>
      <c r="B52" s="10"/>
      <c r="C52" s="9"/>
      <c r="D52" s="9"/>
      <c r="E52" s="9"/>
      <c r="F52" s="9"/>
      <c r="G52" s="20"/>
      <c r="H52" s="11"/>
      <c r="I52" s="9"/>
      <c r="J52" s="9"/>
      <c r="K52" s="9"/>
      <c r="L52" s="10"/>
      <c r="M52" s="10"/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ref="A1:A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6"/>
  <sheetViews>
    <sheetView topLeftCell="A10" zoomScale="145" zoomScaleNormal="145" workbookViewId="0">
      <selection activeCell="C33" sqref="C33"/>
    </sheetView>
  </sheetViews>
  <sheetFormatPr defaultRowHeight="14.25" x14ac:dyDescent="0.2"/>
  <sheetData>
    <row r="4" spans="1:17" s="7" customFormat="1" ht="27" x14ac:dyDescent="0.2">
      <c r="A4" s="27" t="s">
        <v>153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7" s="7" customFormat="1" x14ac:dyDescent="0.2">
      <c r="A5" s="28" t="s">
        <v>135</v>
      </c>
      <c r="B5" s="28"/>
      <c r="C5" s="28"/>
      <c r="D5" s="28"/>
      <c r="E5" s="28"/>
      <c r="F5" s="28"/>
    </row>
    <row r="6" spans="1:17" s="7" customFormat="1" ht="20.25" x14ac:dyDescent="0.2">
      <c r="A6" s="5" t="s">
        <v>152</v>
      </c>
      <c r="B6" s="6" t="s">
        <v>154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171</v>
      </c>
      <c r="B7" s="18" t="s">
        <v>177</v>
      </c>
      <c r="C7" s="16"/>
      <c r="D7" s="16"/>
      <c r="E7" s="16"/>
      <c r="F7" s="16"/>
    </row>
    <row r="8" spans="1:17" s="7" customFormat="1" ht="18" customHeight="1" x14ac:dyDescent="0.2">
      <c r="A8" s="19" t="s">
        <v>172</v>
      </c>
      <c r="B8" s="18" t="s">
        <v>149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173</v>
      </c>
      <c r="B9" s="18" t="s">
        <v>150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174</v>
      </c>
      <c r="B10" s="18" t="s">
        <v>137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175</v>
      </c>
      <c r="B11" s="18" t="s">
        <v>138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176</v>
      </c>
      <c r="B12" s="18" t="s">
        <v>139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0" t="s">
        <v>155</v>
      </c>
      <c r="B14" s="27"/>
      <c r="C14" s="27"/>
      <c r="D14" s="27"/>
      <c r="E14" s="27"/>
      <c r="F14" s="27"/>
    </row>
    <row r="15" spans="1:17" s="7" customFormat="1" ht="20.25" x14ac:dyDescent="0.2">
      <c r="A15" s="5" t="s">
        <v>156</v>
      </c>
      <c r="B15" s="6" t="s">
        <v>154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140</v>
      </c>
      <c r="B16" s="18" t="s">
        <v>199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141</v>
      </c>
      <c r="B17" s="18" t="s">
        <v>210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142</v>
      </c>
      <c r="B18" s="18" t="s">
        <v>200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143</v>
      </c>
      <c r="B19" s="18" t="s">
        <v>201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144</v>
      </c>
      <c r="B20" s="18" t="s">
        <v>202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145</v>
      </c>
      <c r="B21" s="18" t="s">
        <v>151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146</v>
      </c>
      <c r="B22" s="25" t="s">
        <v>203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147</v>
      </c>
      <c r="B23" s="18" t="s">
        <v>148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195</v>
      </c>
      <c r="B24" s="24" t="s">
        <v>204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198</v>
      </c>
      <c r="B25" s="24" t="s">
        <v>205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5" x14ac:dyDescent="0.2">
      <c r="A26" s="29" t="s">
        <v>136</v>
      </c>
      <c r="B26" s="29"/>
      <c r="C26" s="29"/>
      <c r="D26" s="29"/>
      <c r="E26" s="29"/>
      <c r="F26" s="29"/>
    </row>
  </sheetData>
  <mergeCells count="4">
    <mergeCell ref="A4:L4"/>
    <mergeCell ref="A5:F5"/>
    <mergeCell ref="A26:F26"/>
    <mergeCell ref="A14:F1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C45" sqref="C45"/>
    </sheetView>
  </sheetViews>
  <sheetFormatPr defaultRowHeight="14.25" x14ac:dyDescent="0.2"/>
  <sheetData>
    <row r="5" spans="1:2" x14ac:dyDescent="0.2">
      <c r="A5" s="31" t="s">
        <v>187</v>
      </c>
      <c r="B5" s="32"/>
    </row>
    <row r="6" spans="1:2" x14ac:dyDescent="0.2">
      <c r="A6" s="3" t="s">
        <v>188</v>
      </c>
      <c r="B6" s="3" t="s">
        <v>194</v>
      </c>
    </row>
    <row r="7" spans="1:2" x14ac:dyDescent="0.2">
      <c r="A7" s="10" t="s">
        <v>165</v>
      </c>
      <c r="B7" s="3">
        <f>COUNTIF(角色列表!B:B,数据统计!A7)</f>
        <v>9</v>
      </c>
    </row>
    <row r="8" spans="1:2" x14ac:dyDescent="0.2">
      <c r="A8" s="10" t="s">
        <v>162</v>
      </c>
      <c r="B8" s="3">
        <f>COUNTIF(角色列表!B:B,数据统计!A8)</f>
        <v>18</v>
      </c>
    </row>
    <row r="9" spans="1:2" x14ac:dyDescent="0.2">
      <c r="A9" s="10" t="s">
        <v>164</v>
      </c>
      <c r="B9" s="3">
        <f>COUNTIF(角色列表!B:B,数据统计!A9)</f>
        <v>11</v>
      </c>
    </row>
    <row r="10" spans="1:2" x14ac:dyDescent="0.2">
      <c r="A10" s="10" t="s">
        <v>166</v>
      </c>
      <c r="B10" s="3">
        <f>COUNTIF(角色列表!B:B,数据统计!A10)</f>
        <v>6</v>
      </c>
    </row>
    <row r="11" spans="1:2" x14ac:dyDescent="0.2">
      <c r="A11" s="10" t="s">
        <v>167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189</v>
      </c>
      <c r="B13" s="3" t="s">
        <v>194</v>
      </c>
    </row>
    <row r="14" spans="1:2" x14ac:dyDescent="0.2">
      <c r="A14" s="10" t="s">
        <v>190</v>
      </c>
      <c r="B14" s="3">
        <f>COUNTIF(角色列表!R:R,数据统计!A14)</f>
        <v>12</v>
      </c>
    </row>
    <row r="15" spans="1:2" x14ac:dyDescent="0.2">
      <c r="A15" s="10" t="s">
        <v>191</v>
      </c>
      <c r="B15" s="3">
        <f>COUNTIF(角色列表!R:R,数据统计!A15)</f>
        <v>20</v>
      </c>
    </row>
    <row r="16" spans="1:2" x14ac:dyDescent="0.2">
      <c r="A16" s="10" t="s">
        <v>192</v>
      </c>
      <c r="B16" s="3">
        <f>COUNTIF(角色列表!R:R,数据统计!A16)</f>
        <v>12</v>
      </c>
    </row>
    <row r="17" spans="1:2" x14ac:dyDescent="0.2">
      <c r="A17" s="10" t="s">
        <v>158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107</v>
      </c>
      <c r="B1" s="33" t="s">
        <v>118</v>
      </c>
      <c r="C1" s="33"/>
      <c r="D1" s="33"/>
      <c r="E1" s="33"/>
    </row>
    <row r="12" spans="1:11" x14ac:dyDescent="0.2">
      <c r="C12" t="s">
        <v>106</v>
      </c>
      <c r="D12" t="s">
        <v>119</v>
      </c>
      <c r="E12">
        <v>18.75</v>
      </c>
      <c r="G12" s="33" t="s">
        <v>110</v>
      </c>
      <c r="H12" s="33"/>
      <c r="J12" s="33"/>
      <c r="K12" s="33"/>
    </row>
    <row r="13" spans="1:11" x14ac:dyDescent="0.2">
      <c r="C13" t="s">
        <v>108</v>
      </c>
      <c r="D13" t="s">
        <v>109</v>
      </c>
      <c r="E13" t="s">
        <v>117</v>
      </c>
      <c r="G13" t="s">
        <v>116</v>
      </c>
      <c r="H13" t="s">
        <v>117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111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112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113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114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115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角色列表</vt:lpstr>
      <vt:lpstr>词条解释</vt:lpstr>
      <vt:lpstr>数据统计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2026-09-21T14:43:31Z</dcterms:modified>
</cp:coreProperties>
</file>