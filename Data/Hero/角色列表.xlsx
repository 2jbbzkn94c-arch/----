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ame creating\战旗\Data\Hero\"/>
    </mc:Choice>
  </mc:AlternateContent>
  <xr:revisionPtr revIDLastSave="0" documentId="13_ncr:1_{38CB8C1D-50C9-4258-9750-3837CC9E2A52}" xr6:coauthVersionLast="47" xr6:coauthVersionMax="47" xr10:uidLastSave="{00000000-0000-0000-0000-000000000000}"/>
  <bookViews>
    <workbookView xWindow="60" yWindow="3705" windowWidth="28800" windowHeight="15885" xr2:uid="{00000000-000D-0000-FFFF-FFFF00000000}"/>
  </bookViews>
  <sheets>
    <sheet name="角色列表" sheetId="1" r:id="rId1"/>
    <sheet name="新角色畅想" sheetId="6" r:id="rId2"/>
    <sheet name="数据统计" sheetId="5" r:id="rId3"/>
    <sheet name="词条解释" sheetId="4" r:id="rId4"/>
    <sheet name="平衡调整" sheetId="2" r:id="rId5"/>
  </sheets>
  <definedNames>
    <definedName name="_xlnm._FilterDatabase" localSheetId="0" hidden="1">角色列表!$A$1:$R$53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0" i="1" l="1"/>
  <c r="M50" i="1"/>
  <c r="L50" i="1"/>
  <c r="O49" i="1"/>
  <c r="M49" i="1"/>
  <c r="B17" i="5"/>
  <c r="B16" i="5"/>
  <c r="B15" i="5"/>
  <c r="B14" i="5"/>
  <c r="B11" i="5"/>
  <c r="B10" i="5"/>
  <c r="B9" i="5"/>
  <c r="B8" i="5"/>
  <c r="B7" i="5"/>
  <c r="L49" i="1"/>
  <c r="M51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" i="1"/>
  <c r="M3" i="1"/>
  <c r="O44" i="1"/>
  <c r="O37" i="1"/>
  <c r="O23" i="1"/>
  <c r="O17" i="1"/>
  <c r="O15" i="1"/>
  <c r="O9" i="1"/>
  <c r="O7" i="1"/>
  <c r="O48" i="1"/>
  <c r="O47" i="1"/>
  <c r="O46" i="1"/>
  <c r="O45" i="1"/>
  <c r="O43" i="1"/>
  <c r="O42" i="1"/>
  <c r="O41" i="1"/>
  <c r="O40" i="1"/>
  <c r="O39" i="1"/>
  <c r="O38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2" i="1"/>
  <c r="O21" i="1"/>
  <c r="O20" i="1"/>
  <c r="O19" i="1"/>
  <c r="O18" i="1"/>
  <c r="O16" i="1"/>
  <c r="O14" i="1"/>
  <c r="O13" i="1"/>
  <c r="O12" i="1"/>
  <c r="O11" i="1"/>
  <c r="O10" i="1"/>
  <c r="O8" i="1"/>
  <c r="O6" i="1"/>
  <c r="O5" i="1"/>
  <c r="O3" i="1"/>
  <c r="O2" i="1"/>
  <c r="O4" i="1"/>
  <c r="L51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D15" i="2"/>
  <c r="D14" i="2"/>
  <c r="D18" i="2"/>
  <c r="E18" i="2"/>
  <c r="E17" i="2"/>
  <c r="E16" i="2"/>
  <c r="E15" i="2"/>
  <c r="E14" i="2"/>
  <c r="D16" i="2"/>
  <c r="Q50" i="1" l="1"/>
  <c r="Q49" i="1"/>
  <c r="Q48" i="1"/>
  <c r="Q9" i="1"/>
  <c r="Q6" i="1"/>
  <c r="Q18" i="1"/>
  <c r="Q42" i="1"/>
  <c r="Q21" i="1"/>
  <c r="Q13" i="1"/>
  <c r="Q25" i="1"/>
  <c r="Q37" i="1"/>
  <c r="Q14" i="1"/>
  <c r="Q26" i="1"/>
  <c r="Q38" i="1"/>
  <c r="Q3" i="1"/>
  <c r="Q15" i="1"/>
  <c r="Q27" i="1"/>
  <c r="Q4" i="1"/>
  <c r="Q16" i="1"/>
  <c r="Q40" i="1"/>
  <c r="Q5" i="1"/>
  <c r="Q17" i="1"/>
  <c r="Q41" i="1"/>
  <c r="Q2" i="1"/>
  <c r="Q7" i="1"/>
  <c r="Q19" i="1"/>
  <c r="Q43" i="1"/>
  <c r="Q8" i="1"/>
  <c r="Q20" i="1"/>
  <c r="Q44" i="1"/>
  <c r="Q10" i="1"/>
  <c r="Q22" i="1"/>
  <c r="Q11" i="1"/>
  <c r="Q23" i="1"/>
  <c r="Q12" i="1"/>
  <c r="Q28" i="1"/>
  <c r="Q29" i="1"/>
  <c r="Q30" i="1"/>
  <c r="Q31" i="1"/>
  <c r="Q32" i="1"/>
  <c r="Q45" i="1"/>
  <c r="Q33" i="1"/>
  <c r="Q46" i="1"/>
  <c r="Q47" i="1"/>
  <c r="Q35" i="1"/>
  <c r="Q24" i="1"/>
  <c r="Q36" i="1"/>
  <c r="Q39" i="1"/>
  <c r="Q34" i="1"/>
  <c r="D17" i="2"/>
</calcChain>
</file>

<file path=xl/sharedStrings.xml><?xml version="1.0" encoding="utf-8"?>
<sst xmlns="http://schemas.openxmlformats.org/spreadsheetml/2006/main" count="762" uniqueCount="448">
  <si>
    <t>No.</t>
  </si>
  <si>
    <t>名称</t>
  </si>
  <si>
    <t>攻击力</t>
  </si>
  <si>
    <t>HP</t>
  </si>
  <si>
    <t>特性</t>
  </si>
  <si>
    <t>技能</t>
  </si>
  <si>
    <t>配合</t>
  </si>
  <si>
    <t>克制</t>
  </si>
  <si>
    <t>被克制</t>
  </si>
  <si>
    <t>协同英雄</t>
  </si>
  <si>
    <t>伐木工</t>
  </si>
  <si>
    <t>攻击障碍物时额外减少99耐久。</t>
  </si>
  <si>
    <t>无</t>
  </si>
  <si>
    <t>圣诞老人</t>
  </si>
  <si>
    <t>&lt;疾行&gt;</t>
  </si>
  <si>
    <t>对攻击力收益大的角色，比如多倍伤害，AOE等</t>
  </si>
  <si>
    <t>毒蛇淑女</t>
  </si>
  <si>
    <t>攻击后，目标获得[猛毒]。</t>
  </si>
  <si>
    <t>鼠队长</t>
  </si>
  <si>
    <t>傀儡师</t>
  </si>
  <si>
    <t>&lt;远程&gt;</t>
  </si>
  <si>
    <t>需要敌人位移的角色，比如死神，烛火，炸弹人</t>
  </si>
  <si>
    <t>医护兵</t>
  </si>
  <si>
    <t>移动后，随机治疗相邻的队友中HP最低的角色之一。</t>
  </si>
  <si>
    <t>能提供攻击力加成的角色，最好搭配一个坦克</t>
  </si>
  <si>
    <t>影丸</t>
  </si>
  <si>
    <t>最好搭配一个坦克</t>
  </si>
  <si>
    <t>德鲁伊</t>
  </si>
  <si>
    <t>能提供攻击力加成的角色</t>
  </si>
  <si>
    <t>火枪手</t>
  </si>
  <si>
    <t>白游侠</t>
  </si>
  <si>
    <t>远程攻击时一并伤害与目标相邻的敌人，并使它们获得[冰冻]。</t>
  </si>
  <si>
    <t>塔盾</t>
  </si>
  <si>
    <t>&lt;嘲讽&gt;</t>
  </si>
  <si>
    <t>每当相邻队友受到多于1点的伤害时，你代替承受其中1点。</t>
  </si>
  <si>
    <t>巨剑</t>
  </si>
  <si>
    <t>攻击后，目标获得[重伤]。</t>
  </si>
  <si>
    <t>死灵法师</t>
  </si>
  <si>
    <t>独脚龟</t>
  </si>
  <si>
    <t>古拉博士</t>
  </si>
  <si>
    <t>攻击时，如果目标的HP大于自己，则治疗自己攻击数值血量。</t>
  </si>
  <si>
    <t>最好搭配一个坦克，能提供攻击力加成的角色</t>
  </si>
  <si>
    <t>小阴影</t>
  </si>
  <si>
    <t>攻击时，若目标是全场HP最低的角色或之一，则造成2倍伤害。</t>
  </si>
  <si>
    <t>波盾</t>
  </si>
  <si>
    <t>&lt;替补&gt;</t>
  </si>
  <si>
    <t>令己方所有角色获得[圣盾]。</t>
  </si>
  <si>
    <t>烛火</t>
  </si>
  <si>
    <t>移动后，伤害所有相邻的敌人。</t>
  </si>
  <si>
    <t>长剑</t>
  </si>
  <si>
    <t>攻击敌人时，一并伤害目标身后直线上的所有敌人。</t>
  </si>
  <si>
    <t>烈焰祭司</t>
  </si>
  <si>
    <t>己方回合开始时，所有其他队友攻击力+1，直到回合结束。</t>
  </si>
  <si>
    <t>需要攻击力加成的角色</t>
  </si>
  <si>
    <t>赏金猎人</t>
  </si>
  <si>
    <t>超新星</t>
  </si>
  <si>
    <t>远程攻击时，将与目标相邻的所有敌人击退1格。如果其后方有阻挡不能被击退，则伤害之。</t>
  </si>
  <si>
    <t>需要敌人位移的角色</t>
  </si>
  <si>
    <t>圣光</t>
  </si>
  <si>
    <t>复仇者</t>
  </si>
  <si>
    <t>反击次数无限，反击时造成2倍伤害。</t>
  </si>
  <si>
    <t>大骑士</t>
  </si>
  <si>
    <t>风语者</t>
  </si>
  <si>
    <t>战锤</t>
  </si>
  <si>
    <t>雪拳</t>
  </si>
  <si>
    <t>移动后，令相邻敌人获得[冰冻]。</t>
  </si>
  <si>
    <t>暗域</t>
  </si>
  <si>
    <t>攻击时，和对象交换位置。</t>
  </si>
  <si>
    <t>嬉皮死神</t>
  </si>
  <si>
    <t>古灵精怪</t>
  </si>
  <si>
    <t>太阳斩</t>
  </si>
  <si>
    <t>攻击力+3。每次攻击或反击后攻击力-1，直到恢复正常攻击力。</t>
  </si>
  <si>
    <t>攻击时，如果目标没有与其他敌人相邻，则造成2倍伤害。</t>
  </si>
  <si>
    <t>末日</t>
  </si>
  <si>
    <t>&lt;后勤&gt;</t>
  </si>
  <si>
    <t>长角</t>
  </si>
  <si>
    <t>攻击时，将目标击退1格。如果其后方有阻挡不能被击退，则造成2倍伤害。</t>
  </si>
  <si>
    <t>烈焰祭祀</t>
  </si>
  <si>
    <t>沉默术士</t>
  </si>
  <si>
    <t>远程攻击后，目标获得[沉默]。</t>
  </si>
  <si>
    <t>梅林</t>
  </si>
  <si>
    <t>随机令HP最低的队友之一回复8点HP，然后与其交换位置。</t>
  </si>
  <si>
    <t>锤头鲨</t>
  </si>
  <si>
    <t>涌电技师</t>
  </si>
  <si>
    <t>移动后，攻击力+1，然后随机伤害HP最低的敌人之一，然后伤害自己。</t>
  </si>
  <si>
    <t>猎颅者</t>
  </si>
  <si>
    <t>随机伤害HP最低的敌人之一，并令其获得[眩晕]。</t>
  </si>
  <si>
    <t>红帽</t>
  </si>
  <si>
    <t>血锁</t>
  </si>
  <si>
    <t>黄金矿工</t>
  </si>
  <si>
    <t>所有其他队友获得&lt;疾行&gt;，且移动后回复等同于本次移动距离的HP。</t>
  </si>
  <si>
    <t>负墟</t>
  </si>
  <si>
    <t>所有负面效果对其无效，每受到一次负面效果攻击，攻击力+1，持续到我方回合结束。</t>
  </si>
  <si>
    <t>坠炮手</t>
  </si>
  <si>
    <t>可攻击全场的任意目标，弹道无视障碍/单位/墓碑阻挡与嘲讽（被贴身时射程降为1、攻击力变为1，并受嘲讽吸引）。</t>
  </si>
  <si>
    <t>宿魂</t>
  </si>
  <si>
    <t>&lt;渗透&gt;</t>
  </si>
  <si>
    <t>共鸣者</t>
  </si>
  <si>
    <t>我方回合开始时，攻击力变为所有队友攻击力之和，直到我方回合结束。</t>
  </si>
  <si>
    <t>—</t>
  </si>
  <si>
    <t>衍生物</t>
  </si>
  <si>
    <t>骷髅兵</t>
  </si>
  <si>
    <t>回合结束时消失。</t>
  </si>
  <si>
    <t>白板模板</t>
    <phoneticPr fontId="1" type="noConversion"/>
  </si>
  <si>
    <r>
      <rPr>
        <sz val="12"/>
        <color theme="1"/>
        <rFont val="微软雅黑"/>
        <family val="2"/>
        <charset val="134"/>
      </rPr>
      <t>单体价值</t>
    </r>
    <r>
      <rPr>
        <sz val="12"/>
        <color theme="1"/>
        <rFont val="Segoe UI"/>
        <family val="2"/>
      </rPr>
      <t xml:space="preserve"> S = </t>
    </r>
    <phoneticPr fontId="1" type="noConversion"/>
  </si>
  <si>
    <t>攻击</t>
    <phoneticPr fontId="1" type="noConversion"/>
  </si>
  <si>
    <t>血量</t>
    <phoneticPr fontId="1" type="noConversion"/>
  </si>
  <si>
    <t>特性影响</t>
    <phoneticPr fontId="1" type="noConversion"/>
  </si>
  <si>
    <t>嘲讽</t>
    <phoneticPr fontId="1" type="noConversion"/>
  </si>
  <si>
    <t>疾行</t>
    <phoneticPr fontId="1" type="noConversion"/>
  </si>
  <si>
    <t>替补</t>
    <phoneticPr fontId="1" type="noConversion"/>
  </si>
  <si>
    <t>渗透</t>
    <phoneticPr fontId="1" type="noConversion"/>
  </si>
  <si>
    <t>后勤</t>
    <phoneticPr fontId="1" type="noConversion"/>
  </si>
  <si>
    <t>特性</t>
    <phoneticPr fontId="1" type="noConversion"/>
  </si>
  <si>
    <t>评分</t>
    <phoneticPr fontId="1" type="noConversion"/>
  </si>
  <si>
    <t>攻×2.2 + HP×0.45+特性评分+技能评分</t>
    <phoneticPr fontId="1" type="noConversion"/>
  </si>
  <si>
    <t>基数</t>
    <phoneticPr fontId="1" type="noConversion"/>
  </si>
  <si>
    <r>
      <rPr>
        <b/>
        <sz val="12"/>
        <color rgb="FF333333"/>
        <rFont val="等线"/>
        <family val="2"/>
      </rPr>
      <t>属性评分</t>
    </r>
    <phoneticPr fontId="1" type="noConversion"/>
  </si>
  <si>
    <r>
      <rPr>
        <b/>
        <sz val="12"/>
        <color rgb="FF333333"/>
        <rFont val="等线"/>
        <family val="2"/>
      </rPr>
      <t>特性评分</t>
    </r>
    <phoneticPr fontId="1" type="noConversion"/>
  </si>
  <si>
    <r>
      <rPr>
        <b/>
        <sz val="12"/>
        <color rgb="FF333333"/>
        <rFont val="等线"/>
        <family val="2"/>
      </rPr>
      <t>技能评分</t>
    </r>
    <phoneticPr fontId="1" type="noConversion"/>
  </si>
  <si>
    <r>
      <rPr>
        <b/>
        <sz val="12"/>
        <color rgb="FF333333"/>
        <rFont val="等线"/>
        <family val="2"/>
      </rPr>
      <t>总评分</t>
    </r>
    <phoneticPr fontId="1" type="noConversion"/>
  </si>
  <si>
    <t>技能量化</t>
    <phoneticPr fontId="1" type="noConversion"/>
  </si>
  <si>
    <t>补强</t>
    <phoneticPr fontId="1" type="noConversion"/>
  </si>
  <si>
    <t>技能评分+补强&gt;3的非替补角色</t>
    <phoneticPr fontId="1" type="noConversion"/>
  </si>
  <si>
    <t>能提供攻击力加成的角色
能使敌人位移的角色</t>
    <phoneticPr fontId="1" type="noConversion"/>
  </si>
  <si>
    <t>需搭配坦克</t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</si>
  <si>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替补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疾行</t>
    </r>
    <r>
      <rPr>
        <sz val="12"/>
        <color rgb="FF333333"/>
        <rFont val="Arial"/>
        <family val="2"/>
      </rPr>
      <t>&gt;</t>
    </r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</si>
  <si>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疾行</t>
    </r>
    <r>
      <rPr>
        <sz val="12"/>
        <color rgb="FF333333"/>
        <rFont val="Arial"/>
        <family val="2"/>
      </rPr>
      <t>&gt;</t>
    </r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</si>
  <si>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远程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疾行</t>
    </r>
    <r>
      <rPr>
        <sz val="12"/>
        <color rgb="FF333333"/>
        <rFont val="Arial"/>
        <family val="2"/>
      </rPr>
      <t>&gt;</t>
    </r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</si>
  <si>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替补</t>
    </r>
    <r>
      <rPr>
        <sz val="12"/>
        <color rgb="FF333333"/>
        <rFont val="Arial"/>
        <family val="2"/>
      </rPr>
      <t>&gt;</t>
    </r>
    <phoneticPr fontId="1" type="noConversion"/>
  </si>
  <si>
    <t>没有特殊注明的所有角色的移动力都是2，射程都是1。</t>
  </si>
  <si>
    <t>同类标记效果均不叠加。</t>
  </si>
  <si>
    <t>这个角色替补登场的时候，触发技能效果</t>
    <phoneticPr fontId="1" type="noConversion"/>
  </si>
  <si>
    <t>这个角色不能主动攻击。可以反击。</t>
    <phoneticPr fontId="1" type="noConversion"/>
  </si>
  <si>
    <t>这个角色移动时可穿透角色和障碍物，不能停留。</t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</si>
  <si>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重伤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</si>
  <si>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麻痹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</si>
  <si>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冰冻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</si>
  <si>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沉默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</si>
  <si>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眩晕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</si>
  <si>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猛毒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</si>
  <si>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附体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</si>
  <si>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圣盾</t>
    </r>
    <r>
      <rPr>
        <b/>
        <sz val="12"/>
        <color rgb="FF333333"/>
        <rFont val="Arial"/>
        <family val="2"/>
      </rPr>
      <t>]</t>
    </r>
    <phoneticPr fontId="1" type="noConversion"/>
  </si>
  <si>
    <t>防止一次受到的伤害，生效时解除。</t>
    <phoneticPr fontId="1" type="noConversion"/>
  </si>
  <si>
    <r>
      <rPr>
        <sz val="12"/>
        <color rgb="FF333333"/>
        <rFont val="微软雅黑"/>
        <family val="2"/>
        <charset val="134"/>
      </rPr>
      <t>一名角色攻击时，攻击范围内有任何对方角色拥有</t>
    </r>
    <r>
      <rPr>
        <sz val="12"/>
        <color rgb="FF333333"/>
        <rFont val="Arial"/>
        <family val="2"/>
      </rP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</t>
    </r>
    <r>
      <rPr>
        <sz val="12"/>
        <color rgb="FF333333"/>
        <rFont val="微软雅黑"/>
        <family val="2"/>
        <charset val="134"/>
      </rPr>
      <t>的话，只能从拥有</t>
    </r>
    <r>
      <rPr>
        <sz val="12"/>
        <color rgb="FF333333"/>
        <rFont val="Arial"/>
        <family val="2"/>
      </rP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</t>
    </r>
    <r>
      <rPr>
        <sz val="12"/>
        <color rgb="FF333333"/>
        <rFont val="微软雅黑"/>
        <family val="2"/>
        <charset val="134"/>
      </rPr>
      <t>的对象中选择攻击目标。</t>
    </r>
    <phoneticPr fontId="1" type="noConversion"/>
  </si>
  <si>
    <r>
      <rPr>
        <sz val="12"/>
        <color rgb="FF333333"/>
        <rFont val="微软雅黑"/>
        <family val="2"/>
        <charset val="134"/>
      </rPr>
      <t>这个角色移动力</t>
    </r>
    <r>
      <rPr>
        <sz val="12"/>
        <color rgb="FF333333"/>
        <rFont val="Arial"/>
        <family val="2"/>
      </rPr>
      <t>+1</t>
    </r>
    <r>
      <rPr>
        <sz val="12"/>
        <color rgb="FF333333"/>
        <rFont val="微软雅黑"/>
        <family val="2"/>
        <charset val="134"/>
      </rPr>
      <t>。</t>
    </r>
    <phoneticPr fontId="1" type="noConversion"/>
  </si>
  <si>
    <r>
      <rPr>
        <sz val="12"/>
        <color rgb="FF333333"/>
        <rFont val="微软雅黑"/>
        <family val="2"/>
        <charset val="134"/>
      </rPr>
      <t>每个回合开始时受到</t>
    </r>
    <r>
      <rPr>
        <sz val="12"/>
        <color rgb="FF333333"/>
        <rFont val="Arial"/>
        <family val="2"/>
        <charset val="134"/>
      </rPr>
      <t>1</t>
    </r>
    <r>
      <rPr>
        <sz val="12"/>
        <color rgb="FF333333"/>
        <rFont val="微软雅黑"/>
        <family val="2"/>
        <charset val="134"/>
      </rPr>
      <t>点伤害。无法解除。</t>
    </r>
    <phoneticPr fontId="1" type="noConversion"/>
  </si>
  <si>
    <t>特性</t>
    <phoneticPr fontId="1" type="noConversion"/>
  </si>
  <si>
    <r>
      <t>&lt;</t>
    </r>
    <r>
      <rPr>
        <b/>
        <sz val="19.25"/>
        <color rgb="FF333333"/>
        <rFont val="微软雅黑"/>
        <family val="2"/>
        <charset val="134"/>
      </rPr>
      <t>特性</t>
    </r>
    <r>
      <rPr>
        <b/>
        <sz val="19.25"/>
        <color rgb="FF333333"/>
        <rFont val="Arial"/>
        <family val="2"/>
      </rPr>
      <t>&gt;</t>
    </r>
    <phoneticPr fontId="1" type="noConversion"/>
  </si>
  <si>
    <t>效果</t>
    <phoneticPr fontId="1" type="noConversion"/>
  </si>
  <si>
    <t>[状态]</t>
    <phoneticPr fontId="1" type="noConversion"/>
  </si>
  <si>
    <t>状态</t>
    <phoneticPr fontId="1" type="noConversion"/>
  </si>
  <si>
    <t>面板攻击力可以大于等于4的</t>
    <phoneticPr fontId="1" type="noConversion"/>
  </si>
  <si>
    <t>白板</t>
    <phoneticPr fontId="1" type="noConversion"/>
  </si>
  <si>
    <t>分类</t>
    <phoneticPr fontId="1" type="noConversion"/>
  </si>
  <si>
    <t>白板</t>
    <phoneticPr fontId="1" type="noConversion"/>
  </si>
  <si>
    <t>辅助</t>
    <phoneticPr fontId="1" type="noConversion"/>
  </si>
  <si>
    <t>人族</t>
    <phoneticPr fontId="1" type="noConversion"/>
  </si>
  <si>
    <t>种族</t>
    <phoneticPr fontId="1" type="noConversion"/>
  </si>
  <si>
    <t>魔族</t>
    <phoneticPr fontId="1" type="noConversion"/>
  </si>
  <si>
    <t>精灵</t>
    <phoneticPr fontId="1" type="noConversion"/>
  </si>
  <si>
    <t>兽族</t>
    <phoneticPr fontId="1" type="noConversion"/>
  </si>
  <si>
    <t>机械</t>
    <phoneticPr fontId="1" type="noConversion"/>
  </si>
  <si>
    <t>炸弹人</t>
    <phoneticPr fontId="1" type="noConversion"/>
  </si>
  <si>
    <t>输出</t>
    <phoneticPr fontId="1" type="noConversion"/>
  </si>
  <si>
    <t>肉盾</t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</si>
  <si>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远程</t>
    </r>
    <r>
      <rPr>
        <b/>
        <sz val="11"/>
        <color rgb="FF333333"/>
        <rFont val="Arial"/>
        <family val="2"/>
      </rPr>
      <t>&gt;</t>
    </r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</si>
  <si>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嘲讽</t>
    </r>
    <r>
      <rPr>
        <b/>
        <sz val="11"/>
        <color rgb="FF333333"/>
        <rFont val="Arial"/>
        <family val="2"/>
      </rPr>
      <t>&gt;</t>
    </r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</si>
  <si>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疾行</t>
    </r>
    <r>
      <rPr>
        <b/>
        <sz val="11"/>
        <color rgb="FF333333"/>
        <rFont val="Arial"/>
        <family val="2"/>
      </rPr>
      <t>&gt;</t>
    </r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</si>
  <si>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替补</t>
    </r>
    <r>
      <rPr>
        <b/>
        <sz val="11"/>
        <color rgb="FF333333"/>
        <rFont val="Arial"/>
        <family val="2"/>
      </rPr>
      <t>&gt;</t>
    </r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</si>
  <si>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后勤</t>
    </r>
    <r>
      <rPr>
        <b/>
        <sz val="11"/>
        <color rgb="FF333333"/>
        <rFont val="Arial"/>
        <family val="2"/>
      </rPr>
      <t>&gt;</t>
    </r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</si>
  <si>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渗透</t>
    </r>
    <r>
      <rPr>
        <b/>
        <sz val="11"/>
        <color rgb="FF333333"/>
        <rFont val="Arial"/>
        <family val="2"/>
      </rPr>
      <t>&gt;</t>
    </r>
    <phoneticPr fontId="1" type="noConversion"/>
  </si>
  <si>
    <r>
      <rPr>
        <sz val="12"/>
        <color rgb="FF333333"/>
        <rFont val="微软雅黑"/>
        <family val="2"/>
        <charset val="134"/>
      </rPr>
      <t>这个角色没有敌人相邻的话，射程</t>
    </r>
    <r>
      <rPr>
        <sz val="10"/>
        <color rgb="FF333333"/>
        <rFont val="Arial"/>
        <family val="2"/>
      </rPr>
      <t>+1</t>
    </r>
    <r>
      <rPr>
        <sz val="10"/>
        <color rgb="FF333333"/>
        <rFont val="宋体"/>
        <family val="2"/>
        <charset val="134"/>
      </rPr>
      <t>。</t>
    </r>
    <r>
      <rPr>
        <sz val="12"/>
        <color rgb="FF333333"/>
        <rFont val="宋体"/>
        <family val="2"/>
        <charset val="134"/>
      </rPr>
      <t>有敌人相邻的话，基础攻击力变为</t>
    </r>
    <r>
      <rPr>
        <sz val="12"/>
        <color rgb="FF333333"/>
        <rFont val="Arial"/>
        <family val="2"/>
        <charset val="134"/>
      </rPr>
      <t>1</t>
    </r>
    <r>
      <rPr>
        <sz val="12"/>
        <color rgb="FF333333"/>
        <rFont val="宋体"/>
        <family val="2"/>
        <charset val="134"/>
      </rPr>
      <t>。</t>
    </r>
    <phoneticPr fontId="1" type="noConversion"/>
  </si>
  <si>
    <r>
      <rPr>
        <sz val="12"/>
        <color rgb="FF333333"/>
        <rFont val="微软雅黑"/>
        <family val="2"/>
        <charset val="134"/>
      </rPr>
      <t>己方回合开始时，在战场中的空地随机发现一枚金块。金矿每完整回合减</t>
    </r>
    <r>
      <rPr>
        <sz val="12"/>
        <color rgb="FF333333"/>
        <rFont val="Arial"/>
        <family val="2"/>
      </rPr>
      <t>1</t>
    </r>
    <r>
      <rPr>
        <sz val="12"/>
        <color rgb="FF333333"/>
        <rFont val="微软雅黑"/>
        <family val="2"/>
        <charset val="134"/>
      </rPr>
      <t>，只存在</t>
    </r>
    <r>
      <rPr>
        <sz val="12"/>
        <color rgb="FF333333"/>
        <rFont val="Arial"/>
        <family val="2"/>
      </rPr>
      <t>3</t>
    </r>
    <r>
      <rPr>
        <sz val="12"/>
        <color rgb="FF333333"/>
        <rFont val="微软雅黑"/>
        <family val="2"/>
        <charset val="134"/>
      </rPr>
      <t>回合后消失。</t>
    </r>
    <phoneticPr fontId="1" type="noConversion"/>
  </si>
  <si>
    <r>
      <rPr>
        <sz val="12"/>
        <color rgb="FF333333"/>
        <rFont val="微软雅黑"/>
        <family val="2"/>
        <charset val="134"/>
      </rPr>
      <t>死亡时，对相邻的所有单位（含己方队友）造成</t>
    </r>
    <r>
      <rPr>
        <sz val="12"/>
        <color rgb="FF333333"/>
        <rFont val="Arial"/>
        <family val="2"/>
      </rPr>
      <t>13</t>
    </r>
    <r>
      <rPr>
        <sz val="12"/>
        <color rgb="FF333333"/>
        <rFont val="微软雅黑"/>
        <family val="2"/>
        <charset val="134"/>
      </rPr>
      <t>点伤害。</t>
    </r>
    <phoneticPr fontId="1" type="noConversion"/>
  </si>
  <si>
    <r>
      <rPr>
        <sz val="12"/>
        <color rgb="FF333333"/>
        <rFont val="微软雅黑"/>
        <family val="2"/>
        <charset val="134"/>
      </rPr>
      <t>移动后，可在附近格子放置一颗炸弹。炸弹人以外的角色如果停留在该格就会引爆，受到</t>
    </r>
    <r>
      <rPr>
        <sz val="12"/>
        <color rgb="FF333333"/>
        <rFont val="Arial"/>
        <family val="2"/>
      </rPr>
      <t>5</t>
    </r>
    <r>
      <rPr>
        <sz val="12"/>
        <color rgb="FF333333"/>
        <rFont val="微软雅黑"/>
        <family val="2"/>
        <charset val="134"/>
      </rPr>
      <t>点伤害。</t>
    </r>
    <phoneticPr fontId="1" type="noConversion"/>
  </si>
  <si>
    <r>
      <rPr>
        <sz val="12"/>
        <color rgb="FF333333"/>
        <rFont val="微软雅黑"/>
        <family val="2"/>
        <charset val="134"/>
      </rPr>
      <t>远程攻击时，如果目标有</t>
    </r>
    <r>
      <rPr>
        <sz val="12"/>
        <color rgb="FF333333"/>
        <rFont val="Arial"/>
        <family val="2"/>
      </rP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</t>
    </r>
    <r>
      <rPr>
        <sz val="12"/>
        <color rgb="FF333333"/>
        <rFont val="微软雅黑"/>
        <family val="2"/>
        <charset val="134"/>
      </rPr>
      <t>，则造成</t>
    </r>
    <r>
      <rPr>
        <sz val="12"/>
        <color rgb="FF333333"/>
        <rFont val="Arial"/>
        <family val="2"/>
      </rPr>
      <t>2</t>
    </r>
    <r>
      <rPr>
        <sz val="12"/>
        <color rgb="FF333333"/>
        <rFont val="微软雅黑"/>
        <family val="2"/>
        <charset val="134"/>
      </rPr>
      <t>倍伤害。</t>
    </r>
    <r>
      <rPr>
        <sz val="12"/>
        <color rgb="FF333333"/>
        <rFont val="Arial"/>
        <family val="2"/>
      </rPr>
      <t xml:space="preserve"> </t>
    </r>
    <phoneticPr fontId="1" type="noConversion"/>
  </si>
  <si>
    <r>
      <t>&lt;</t>
    </r>
    <r>
      <rPr>
        <sz val="12"/>
        <color rgb="FF333333"/>
        <rFont val="宋体"/>
        <family val="3"/>
        <charset val="134"/>
      </rPr>
      <t>远程</t>
    </r>
    <r>
      <rPr>
        <sz val="12"/>
        <color rgb="FF333333"/>
        <rFont val="Arial"/>
        <family val="2"/>
      </rPr>
      <t>&gt;</t>
    </r>
  </si>
  <si>
    <r>
      <rPr>
        <sz val="12"/>
        <color rgb="FF333333"/>
        <rFont val="微软雅黑"/>
        <family val="2"/>
        <charset val="134"/>
      </rPr>
      <t>移动后，伤害所有</t>
    </r>
    <r>
      <rPr>
        <sz val="12"/>
        <color rgb="FF333333"/>
        <rFont val="Arial"/>
        <family val="2"/>
      </rPr>
      <t>HP</t>
    </r>
    <r>
      <rPr>
        <sz val="12"/>
        <color rgb="FF333333"/>
        <rFont val="微软雅黑"/>
        <family val="2"/>
        <charset val="134"/>
      </rPr>
      <t>小于你的角色。</t>
    </r>
    <phoneticPr fontId="1" type="noConversion"/>
  </si>
  <si>
    <r>
      <rPr>
        <sz val="12"/>
        <color rgb="FF333333"/>
        <rFont val="微软雅黑"/>
        <family val="2"/>
        <charset val="134"/>
      </rPr>
      <t>己方回合内，你的射程</t>
    </r>
    <r>
      <rPr>
        <sz val="12"/>
        <color rgb="FF333333"/>
        <rFont val="Arial"/>
        <family val="2"/>
      </rPr>
      <t>+2</t>
    </r>
    <r>
      <rPr>
        <sz val="12"/>
        <color rgb="FF333333"/>
        <rFont val="微软雅黑"/>
        <family val="2"/>
        <charset val="134"/>
      </rPr>
      <t>，但只能沿直线攻击。攻击时，将敌人拉到面前一格。</t>
    </r>
    <phoneticPr fontId="1" type="noConversion"/>
  </si>
  <si>
    <t>己方回合开始时，令所有敌人向随机方向移动一格。</t>
    <phoneticPr fontId="1" type="noConversion"/>
  </si>
  <si>
    <r>
      <rPr>
        <sz val="12"/>
        <color rgb="FF333333"/>
        <rFont val="微软雅黑"/>
        <family val="2"/>
        <charset val="134"/>
      </rPr>
      <t>己方回合结束时，治疗所有其他队友（回复量</t>
    </r>
    <r>
      <rPr>
        <sz val="12"/>
        <color rgb="FF333333"/>
        <rFont val="Arial"/>
        <family val="2"/>
      </rPr>
      <t>=</t>
    </r>
    <r>
      <rPr>
        <sz val="12"/>
        <color rgb="FF333333"/>
        <rFont val="微软雅黑"/>
        <family val="2"/>
        <charset val="134"/>
      </rPr>
      <t>自己当前的攻击力）。</t>
    </r>
    <phoneticPr fontId="1" type="noConversion"/>
  </si>
  <si>
    <t>数据统计</t>
    <phoneticPr fontId="1" type="noConversion"/>
  </si>
  <si>
    <t>种族</t>
    <phoneticPr fontId="1" type="noConversion"/>
  </si>
  <si>
    <t>类型</t>
    <phoneticPr fontId="1" type="noConversion"/>
  </si>
  <si>
    <t>肉盾</t>
    <phoneticPr fontId="1" type="noConversion"/>
  </si>
  <si>
    <t>输出</t>
    <phoneticPr fontId="1" type="noConversion"/>
  </si>
  <si>
    <t>辅助</t>
    <phoneticPr fontId="1" type="noConversion"/>
  </si>
  <si>
    <t>装甲堡垒</t>
    <phoneticPr fontId="1" type="noConversion"/>
  </si>
  <si>
    <t>数量</t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</si>
  <si>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坚固</t>
    </r>
    <r>
      <rPr>
        <b/>
        <sz val="12"/>
        <color rgb="FF333333"/>
        <rFont val="Arial"/>
        <family val="2"/>
      </rPr>
      <t>]</t>
    </r>
    <phoneticPr fontId="1" type="noConversion"/>
  </si>
  <si>
    <t>荆棘树人</t>
    <phoneticPr fontId="1" type="noConversion"/>
  </si>
  <si>
    <t>你的移动改为沿直线方向冲锋任意距离。然后你的攻击力上升等量于本次移动距离的值，直至回合结束。</t>
  </si>
  <si>
    <r>
      <t>[</t>
    </r>
    <r>
      <rPr>
        <b/>
        <sz val="12"/>
        <color rgb="FF333333"/>
        <rFont val="微软雅黑"/>
        <family val="2"/>
        <charset val="134"/>
      </rPr>
      <t>荆棘</t>
    </r>
    <r>
      <rPr>
        <b/>
        <sz val="12"/>
        <color rgb="FF333333"/>
        <rFont val="Arial"/>
        <family val="2"/>
      </rPr>
      <t>]</t>
    </r>
    <phoneticPr fontId="1" type="noConversion"/>
  </si>
  <si>
    <r>
      <rPr>
        <sz val="12"/>
        <color rgb="FF333333"/>
        <rFont val="微软雅黑"/>
        <family val="2"/>
        <charset val="134"/>
      </rPr>
      <t>受到的伤害</t>
    </r>
    <r>
      <rPr>
        <sz val="12"/>
        <color rgb="FF333333"/>
        <rFont val="Arial"/>
        <family val="2"/>
      </rPr>
      <t>+1</t>
    </r>
    <r>
      <rPr>
        <sz val="12"/>
        <color rgb="FF333333"/>
        <rFont val="微软雅黑"/>
        <family val="2"/>
        <charset val="134"/>
      </rPr>
      <t>。</t>
    </r>
    <r>
      <rPr>
        <sz val="12"/>
        <color rgb="FF333333"/>
        <rFont val="宋体"/>
        <family val="2"/>
        <charset val="134"/>
      </rPr>
      <t>对方</t>
    </r>
    <r>
      <rPr>
        <sz val="12"/>
        <color rgb="FF333333"/>
        <rFont val="微软雅黑"/>
        <family val="2"/>
        <charset val="134"/>
      </rPr>
      <t>回合结束时解除。</t>
    </r>
    <phoneticPr fontId="1" type="noConversion"/>
  </si>
  <si>
    <r>
      <rPr>
        <sz val="12"/>
        <color rgb="FF333333"/>
        <rFont val="微软雅黑"/>
        <family val="2"/>
        <charset val="134"/>
      </rPr>
      <t>移动力</t>
    </r>
    <r>
      <rPr>
        <sz val="12"/>
        <color rgb="FF333333"/>
        <rFont val="Arial"/>
        <family val="2"/>
        <charset val="134"/>
      </rPr>
      <t>-1</t>
    </r>
    <r>
      <rPr>
        <sz val="12"/>
        <color rgb="FF333333"/>
        <rFont val="微软雅黑"/>
        <family val="2"/>
        <charset val="134"/>
      </rPr>
      <t>（至少为</t>
    </r>
    <r>
      <rPr>
        <sz val="12"/>
        <color rgb="FF333333"/>
        <rFont val="Arial"/>
        <family val="2"/>
        <charset val="134"/>
      </rPr>
      <t>0</t>
    </r>
    <r>
      <rPr>
        <sz val="12"/>
        <color rgb="FF333333"/>
        <rFont val="微软雅黑"/>
        <family val="2"/>
        <charset val="134"/>
      </rPr>
      <t>）。</t>
    </r>
    <r>
      <rPr>
        <sz val="12"/>
        <color rgb="FF333333"/>
        <rFont val="宋体"/>
        <family val="2"/>
        <charset val="134"/>
      </rPr>
      <t>对方</t>
    </r>
    <r>
      <rPr>
        <sz val="12"/>
        <color rgb="FF333333"/>
        <rFont val="微软雅黑"/>
        <family val="2"/>
        <charset val="134"/>
      </rPr>
      <t>回合结束时解除。</t>
    </r>
    <phoneticPr fontId="1" type="noConversion"/>
  </si>
  <si>
    <r>
      <rPr>
        <sz val="12"/>
        <color rgb="FF333333"/>
        <rFont val="微软雅黑"/>
        <family val="2"/>
        <charset val="134"/>
      </rPr>
      <t>不能触发技能，</t>
    </r>
    <r>
      <rPr>
        <sz val="12"/>
        <color rgb="FF333333"/>
        <rFont val="宋体"/>
        <family val="2"/>
        <charset val="134"/>
      </rPr>
      <t>对方</t>
    </r>
    <r>
      <rPr>
        <sz val="12"/>
        <color rgb="FF333333"/>
        <rFont val="微软雅黑"/>
        <family val="2"/>
        <charset val="134"/>
      </rPr>
      <t>回合结束时解除。</t>
    </r>
    <phoneticPr fontId="1" type="noConversion"/>
  </si>
  <si>
    <r>
      <rPr>
        <sz val="12"/>
        <color rgb="FF333333"/>
        <rFont val="微软雅黑"/>
        <family val="2"/>
        <charset val="134"/>
      </rPr>
      <t>不能移动、攻击、反击和触发非关键词技能，</t>
    </r>
    <r>
      <rPr>
        <sz val="12"/>
        <color rgb="FF333333"/>
        <rFont val="宋体"/>
        <family val="2"/>
        <charset val="134"/>
      </rPr>
      <t>对方</t>
    </r>
    <r>
      <rPr>
        <sz val="12"/>
        <color rgb="FF333333"/>
        <rFont val="微软雅黑"/>
        <family val="2"/>
        <charset val="134"/>
      </rPr>
      <t>回合结束时解除。</t>
    </r>
    <phoneticPr fontId="1" type="noConversion"/>
  </si>
  <si>
    <t>与施加者伤害绑定。施加者受到伤害时，目标受到同等伤害。对方回合结束时解除。</t>
    <phoneticPr fontId="1" type="noConversion"/>
  </si>
  <si>
    <t>受到攻击伤害-1，对方回合结束时解除。</t>
    <phoneticPr fontId="1" type="noConversion"/>
  </si>
  <si>
    <t>无法移动，对方回合结束时解除</t>
    <phoneticPr fontId="1" type="noConversion"/>
  </si>
  <si>
    <r>
      <rPr>
        <sz val="12"/>
        <color rgb="FF333333"/>
        <rFont val="微软雅黑"/>
        <family val="2"/>
        <charset val="134"/>
      </rPr>
      <t>攻击后令目标</t>
    </r>
    <r>
      <rPr>
        <sz val="12"/>
        <color rgb="FF333333"/>
        <rFont val="Arial"/>
        <family val="2"/>
      </rPr>
      <t>[</t>
    </r>
    <r>
      <rPr>
        <sz val="12"/>
        <color rgb="FF333333"/>
        <rFont val="宋体"/>
        <family val="2"/>
        <charset val="134"/>
      </rPr>
      <t>荆棘</t>
    </r>
    <r>
      <rPr>
        <sz val="12"/>
        <color rgb="FF333333"/>
        <rFont val="Arial"/>
        <family val="2"/>
      </rPr>
      <t>]</t>
    </r>
    <phoneticPr fontId="1" type="noConversion"/>
  </si>
  <si>
    <r>
      <rPr>
        <sz val="12"/>
        <color rgb="FF333333"/>
        <rFont val="微软雅黑"/>
        <family val="2"/>
        <charset val="134"/>
      </rPr>
      <t>攻击后令目标</t>
    </r>
    <r>
      <rPr>
        <sz val="12"/>
        <color rgb="FF333333"/>
        <rFont val="Arial"/>
        <family val="2"/>
      </rPr>
      <t>[</t>
    </r>
    <r>
      <rPr>
        <sz val="12"/>
        <color rgb="FF333333"/>
        <rFont val="微软雅黑"/>
        <family val="2"/>
        <charset val="134"/>
      </rPr>
      <t>麻痹</t>
    </r>
    <r>
      <rPr>
        <sz val="12"/>
        <color rgb="FF333333"/>
        <rFont val="Arial"/>
        <family val="2"/>
      </rPr>
      <t>][</t>
    </r>
    <r>
      <rPr>
        <sz val="12"/>
        <color rgb="FF333333"/>
        <rFont val="微软雅黑"/>
        <family val="2"/>
        <charset val="134"/>
      </rPr>
      <t>冰冻</t>
    </r>
    <r>
      <rPr>
        <sz val="12"/>
        <color rgb="FF333333"/>
        <rFont val="Arial"/>
        <family val="2"/>
      </rPr>
      <t>]</t>
    </r>
    <r>
      <rPr>
        <sz val="12"/>
        <color rgb="FF333333"/>
        <rFont val="微软雅黑"/>
        <family val="2"/>
        <charset val="134"/>
      </rPr>
      <t>，直至敌人回合结束。</t>
    </r>
    <phoneticPr fontId="1" type="noConversion"/>
  </si>
  <si>
    <r>
      <rPr>
        <sz val="12"/>
        <color rgb="FF333333"/>
        <rFont val="微软雅黑"/>
        <family val="2"/>
        <charset val="134"/>
      </rPr>
      <t>己方回合开始时，随机在相邻的位置召唤</t>
    </r>
    <r>
      <rPr>
        <sz val="12"/>
        <color rgb="FF333333"/>
        <rFont val="Arial"/>
        <family val="2"/>
      </rPr>
      <t>2</t>
    </r>
    <r>
      <rPr>
        <sz val="12"/>
        <color rgb="FF333333"/>
        <rFont val="微软雅黑"/>
        <family val="2"/>
        <charset val="134"/>
      </rPr>
      <t>个骷髅兵。</t>
    </r>
    <phoneticPr fontId="1" type="noConversion"/>
  </si>
  <si>
    <r>
      <rPr>
        <sz val="12"/>
        <color rgb="FF333333"/>
        <rFont val="微软雅黑"/>
        <family val="2"/>
        <charset val="134"/>
      </rPr>
      <t>我方回合内，每当敌人受到一次伤害，你的攻击力</t>
    </r>
    <r>
      <rPr>
        <sz val="12"/>
        <color rgb="FF333333"/>
        <rFont val="Arial"/>
        <family val="2"/>
      </rPr>
      <t>+1</t>
    </r>
    <r>
      <rPr>
        <sz val="12"/>
        <color rgb="FF333333"/>
        <rFont val="微软雅黑"/>
        <family val="2"/>
        <charset val="134"/>
      </rPr>
      <t>，对方回合结束时消失。</t>
    </r>
    <phoneticPr fontId="1" type="noConversion"/>
  </si>
  <si>
    <r>
      <rPr>
        <sz val="12"/>
        <color rgb="FF333333"/>
        <rFont val="微软雅黑"/>
        <family val="2"/>
        <charset val="134"/>
      </rPr>
      <t>攻击力</t>
    </r>
    <r>
      <rPr>
        <sz val="12"/>
        <color rgb="FF333333"/>
        <rFont val="Arial"/>
        <family val="2"/>
      </rPr>
      <t>-1</t>
    </r>
    <r>
      <rPr>
        <sz val="12"/>
        <color rgb="FF333333"/>
        <rFont val="宋体"/>
        <family val="3"/>
        <charset val="134"/>
      </rPr>
      <t>（至少为</t>
    </r>
    <r>
      <rPr>
        <sz val="12"/>
        <color rgb="FF333333"/>
        <rFont val="Arial"/>
        <family val="2"/>
      </rPr>
      <t>0</t>
    </r>
    <r>
      <rPr>
        <sz val="12"/>
        <color rgb="FF333333"/>
        <rFont val="宋体"/>
        <family val="3"/>
        <charset val="134"/>
      </rPr>
      <t>）。对方回合结束时解除。</t>
    </r>
    <phoneticPr fontId="1" type="noConversion"/>
  </si>
  <si>
    <t>装甲堡垒在我方回合没有移动时，装甲堡垒获得[坚固]</t>
    <phoneticPr fontId="1" type="noConversion"/>
  </si>
  <si>
    <t>敌方回合，一名己方英雄受到伤害后，其获得[圣盾]，一回合限一次。</t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</si>
  <si>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疾行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渗透</t>
    </r>
    <r>
      <rPr>
        <sz val="12"/>
        <color rgb="FF333333"/>
        <rFont val="Arial"/>
        <family val="2"/>
      </rPr>
      <t>&gt;</t>
    </r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</si>
  <si>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疾行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后勤</t>
    </r>
    <r>
      <rPr>
        <sz val="12"/>
        <color rgb="FF333333"/>
        <rFont val="Arial"/>
        <family val="2"/>
      </rPr>
      <t>&gt;</t>
    </r>
    <phoneticPr fontId="1" type="noConversion"/>
  </si>
  <si>
    <r>
      <rPr>
        <sz val="12"/>
        <color rgb="FF333333"/>
        <rFont val="微软雅黑"/>
        <family val="2"/>
        <charset val="134"/>
      </rPr>
      <t>所有</t>
    </r>
    <r>
      <rPr>
        <sz val="12"/>
        <color rgb="FF333333"/>
        <rFont val="Arial"/>
        <family val="2"/>
      </rPr>
      <t>AOE</t>
    </r>
    <r>
      <rPr>
        <sz val="12"/>
        <color rgb="FF333333"/>
        <rFont val="宋体"/>
        <family val="2"/>
        <charset val="134"/>
      </rPr>
      <t>和多段</t>
    </r>
    <phoneticPr fontId="1" type="noConversion"/>
  </si>
  <si>
    <t>能提供攻击力加成的角色</t>
    <phoneticPr fontId="1" type="noConversion"/>
  </si>
  <si>
    <t>我方回合开始时，随机变为己方队伍中的一名其他角色，暂时获得其所有技能和特性，直到下次变化为止。</t>
    <phoneticPr fontId="1" type="noConversion"/>
  </si>
  <si>
    <t>能使敌人位移的角色，除了暗域</t>
    <phoneticPr fontId="1" type="noConversion"/>
  </si>
  <si>
    <r>
      <rPr>
        <sz val="12"/>
        <color rgb="FF333333"/>
        <rFont val="微软雅黑"/>
        <family val="2"/>
        <charset val="134"/>
      </rPr>
      <t>可以移动到任意格子。攻击后，令敌人获得</t>
    </r>
    <r>
      <rPr>
        <sz val="12"/>
        <color rgb="FF333333"/>
        <rFont val="Arial"/>
        <family val="2"/>
      </rPr>
      <t>[</t>
    </r>
    <r>
      <rPr>
        <sz val="12"/>
        <color rgb="FF333333"/>
        <rFont val="微软雅黑"/>
        <family val="2"/>
        <charset val="134"/>
      </rPr>
      <t>附体</t>
    </r>
    <r>
      <rPr>
        <sz val="12"/>
        <color rgb="FF333333"/>
        <rFont val="Arial"/>
        <family val="2"/>
      </rPr>
      <t>]</t>
    </r>
    <r>
      <rPr>
        <sz val="12"/>
        <color rgb="FF333333"/>
        <rFont val="微软雅黑"/>
        <family val="2"/>
        <charset val="134"/>
      </rPr>
      <t>。</t>
    </r>
    <phoneticPr fontId="1" type="noConversion"/>
  </si>
  <si>
    <t>己方回合开始时，在战场中的空地随机放置两个随机的增益道具，生成增益道具只能我方拾取，对方拾取则消失</t>
    <phoneticPr fontId="1" type="noConversion"/>
  </si>
  <si>
    <t>语义伙伴</t>
  </si>
  <si>
    <t>暗域、傀儡师、超新星、长角、血锁</t>
  </si>
  <si>
    <t>白游侠、烛火、长剑、红帽、末日、死灵法师、超新星</t>
  </si>
  <si>
    <t>白游侠、末日、坠炮手、宿魂、涌电技师</t>
    <phoneticPr fontId="1" type="noConversion"/>
  </si>
  <si>
    <t>塔盾、装甲堡垒、复仇者</t>
    <phoneticPr fontId="1" type="noConversion"/>
  </si>
  <si>
    <t>烈焰祭司</t>
    <phoneticPr fontId="1" type="noConversion"/>
  </si>
  <si>
    <t>嬉皮死神×3、炸弹人×3、烛火×3</t>
  </si>
  <si>
    <t>长剑</t>
    <phoneticPr fontId="1" type="noConversion"/>
  </si>
  <si>
    <t>死灵法师、嬉皮死神、长角、小阴影</t>
    <phoneticPr fontId="1" type="noConversion"/>
  </si>
  <si>
    <t>嬉皮死神×3、烛火×2</t>
    <phoneticPr fontId="1" type="noConversion"/>
  </si>
  <si>
    <t>傀儡师×3、超新星×3、暗域×3、长角、血锁×3</t>
    <phoneticPr fontId="1" type="noConversion"/>
  </si>
  <si>
    <t>烈焰祭司×3</t>
    <phoneticPr fontId="1" type="noConversion"/>
  </si>
  <si>
    <t>毒蛇淑女、战锤、雪拳、白游侠、沉默术士、猎颅者、巨剑、宿魂</t>
  </si>
  <si>
    <t>傀儡师、医护兵、影丸、德鲁伊、火枪手、白游侠、烈焰祭司、赏金猎人、超新星、死灵法师、沉默术士、炸弹人、风语者、坠炮手、烛火、末日、涌电技师</t>
  </si>
  <si>
    <t>塔盾、巨剑、独脚龟、圣光、复仇者、大骑士、战锤、雪拳、梅林、负墟、装甲堡垒、荆棘树人</t>
    <phoneticPr fontId="1" type="noConversion"/>
  </si>
  <si>
    <t>鼠队长、影丸、火枪手、古拉博士、红帽</t>
    <phoneticPr fontId="1" type="noConversion"/>
  </si>
  <si>
    <t>兽族</t>
  </si>
  <si>
    <t>辅助</t>
  </si>
  <si>
    <t>狂徒</t>
  </si>
  <si>
    <t>影丸、火枪手、坠炮手</t>
  </si>
  <si>
    <t>白板</t>
  </si>
  <si>
    <t>塔盾、圣光、复仇者</t>
  </si>
  <si>
    <t>输出</t>
  </si>
  <si>
    <t>肉盾</t>
  </si>
  <si>
    <t>能治疗自己的角色</t>
  </si>
  <si>
    <t>鼠队长、白游侠、死灵法师</t>
  </si>
  <si>
    <t>赏金猎人、影丸、红帽</t>
  </si>
  <si>
    <t>医护兵、德鲁伊、圣光</t>
  </si>
  <si>
    <t>机械</t>
  </si>
  <si>
    <t>塔盾、独脚龟</t>
  </si>
  <si>
    <t>破盾锤</t>
  </si>
  <si>
    <t>攻击无视目标的[圣盾]；若目标带有[圣盾]，本次伤害翻倍。</t>
  </si>
  <si>
    <t>波盾、圣光</t>
  </si>
  <si>
    <t>塔盾、独脚龟、装甲堡垒</t>
  </si>
  <si>
    <t>烈焰祭司、圣诞老人</t>
  </si>
  <si>
    <t>受到近战攻击时，对攻击者造成2点伤害。</t>
  </si>
  <si>
    <t>能提供圣盾或治疗的角色</t>
  </si>
  <si>
    <t>鼠队长、太阳斩、嬉皮死神</t>
  </si>
  <si>
    <t>圣光、荆棘树人</t>
  </si>
  <si>
    <t>哨戒机</t>
  </si>
  <si>
    <t>暗域、宿魂、影丸</t>
  </si>
  <si>
    <t>精灵</t>
  </si>
  <si>
    <t>净化祭司</t>
  </si>
  <si>
    <t>己方回合开始时，清除所有队友身上的负面状态；每清除一个，本回合自身攻击力+1（最多+3）。</t>
  </si>
  <si>
    <t>需要站在前排的角色</t>
  </si>
  <si>
    <t>战锤、雪拳、巨剑、沉默术士、荆棘树人、宿魂、猎颅者、白游侠</t>
  </si>
  <si>
    <t>影丸、火枪手、毒蛇淑女</t>
  </si>
  <si>
    <t>塔盾、装甲堡垒、独脚龟</t>
  </si>
  <si>
    <t>卸力僧</t>
  </si>
  <si>
    <t>攻击后，令目标本回合无法反击。自身反击时造成2倍伤害。</t>
  </si>
  <si>
    <t>复仇者、塔盾、装甲堡垒、荆棘树人、战锤、负墟</t>
  </si>
  <si>
    <t>医护兵、德鲁伊、风语者</t>
  </si>
  <si>
    <t>霜语者</t>
  </si>
  <si>
    <t>己方回合开始时，令所有敌人获得[冰冻]，对方回合结束时解除。</t>
  </si>
  <si>
    <t>近战角色</t>
  </si>
  <si>
    <t>风语者、影丸、鼠队长</t>
  </si>
  <si>
    <t>长剑、暗域、大骑士</t>
  </si>
  <si>
    <t>魔族</t>
  </si>
  <si>
    <t>瘟疫使者</t>
  </si>
  <si>
    <t>能施加负面状态的角色</t>
  </si>
  <si>
    <t>德鲁伊、医护兵、梅林、古拉博士、塔盾、复仇者、风语者</t>
  </si>
  <si>
    <t>负墟、圣光</t>
  </si>
  <si>
    <t>毒蛇淑女、战锤、雪拳、巨剑、荆棘树人、沉默术士</t>
  </si>
  <si>
    <t>人族</t>
  </si>
  <si>
    <t>禁反击</t>
  </si>
  <si>
    <t>狼骑士</t>
  </si>
  <si>
    <t>风语者、大骑士</t>
  </si>
  <si>
    <t>蛮牛卫士</t>
  </si>
  <si>
    <t>回合结束时，若本回合没有移动，回复5点HP。</t>
  </si>
  <si>
    <t>能治疗或提供圣盾的角色</t>
  </si>
  <si>
    <t>赏金猎人、沉默术士、影丸</t>
  </si>
  <si>
    <t>装甲堡垒、独脚龟</t>
  </si>
  <si>
    <t>毒牙猎手</t>
  </si>
  <si>
    <t>沉默术士、猎颅者</t>
  </si>
  <si>
    <t>影丸、红帽、鼠队长</t>
  </si>
  <si>
    <t>碎骨者</t>
  </si>
  <si>
    <t>能站在前排的角色</t>
  </si>
  <si>
    <t>沉默术士、影丸、火枪手</t>
  </si>
  <si>
    <t>塔盾、装甲堡垒</t>
  </si>
  <si>
    <t>能造成高额伤害的角色</t>
  </si>
  <si>
    <t>山猪撞角</t>
  </si>
  <si>
    <t>超新星、长角、血锁</t>
  </si>
  <si>
    <t>赏金猎人、影丸、火枪手</t>
  </si>
  <si>
    <t>铆钉炮台</t>
  </si>
  <si>
    <t>己方回合结束时，对最近的敌人造成3点伤害。</t>
  </si>
  <si>
    <t>能保护它的角色</t>
  </si>
  <si>
    <t>影丸、火枪手、暗域</t>
  </si>
  <si>
    <t>塔盾、独脚龟、荆棘树人</t>
  </si>
  <si>
    <t>影丸、火枪手、傀儡师</t>
  </si>
  <si>
    <t>梅林、医护兵、德鲁伊</t>
  </si>
  <si>
    <t>铁盾卫士</t>
  </si>
  <si>
    <t>相邻的队友受到的远程伤害-1。</t>
  </si>
  <si>
    <t>需要贴身保护的远程角色</t>
  </si>
  <si>
    <t>白游侠、影丸、火枪手</t>
  </si>
  <si>
    <t>赏金猎人、烛火、末日</t>
  </si>
  <si>
    <t>塔盾、独脚龟、医护兵</t>
  </si>
  <si>
    <t>能提供移动力的角色</t>
  </si>
  <si>
    <t>攻击后，对目标相邻的另一个敌人造成2点伤害。</t>
  </si>
  <si>
    <t>能使敌人聚拢的角色</t>
  </si>
  <si>
    <t>傀儡师、血锁、长角</t>
  </si>
  <si>
    <t>负墟、影丸、火枪手</t>
  </si>
  <si>
    <t>需要保护的队友</t>
  </si>
  <si>
    <t>能压低敌人HP的角色</t>
  </si>
  <si>
    <t>影丸、小阴影、赏金猎人</t>
  </si>
  <si>
    <t>医护兵、德鲁伊、古拉博士</t>
  </si>
  <si>
    <t>魅影刺客</t>
  </si>
  <si>
    <t>塔盾、圣光、暗域</t>
  </si>
  <si>
    <t>能把它送进人堆的角色</t>
  </si>
  <si>
    <t>沉默术士、猎颅者、坠炮手</t>
  </si>
  <si>
    <t>暗域、宿魂、大骑士</t>
  </si>
  <si>
    <t>噬魂者</t>
  </si>
  <si>
    <t>攻击后，若目标在本回合内死亡，回复8点HP。</t>
  </si>
  <si>
    <t>军旗手</t>
  </si>
  <si>
    <t>阵亡时，令所有队友永久获得攻击力+1。</t>
  </si>
  <si>
    <t>沉默术士、猎颅者、赏金猎人</t>
  </si>
  <si>
    <t>影丸、红帽、共鸣者</t>
  </si>
  <si>
    <t>重装步兵</t>
  </si>
  <si>
    <t>受到的伤害小于3时，改为0。</t>
  </si>
  <si>
    <t>影丸、红帽、古拉博士</t>
  </si>
  <si>
    <t>神射手</t>
  </si>
  <si>
    <t>若本回合没有移动，攻击力+2。</t>
  </si>
  <si>
    <t>站桩才有输出</t>
  </si>
  <si>
    <t>蓄能兵</t>
  </si>
  <si>
    <t>若本回合没有攻击，则下回合攻击力+2（可累计，最多+4；攻击后清零）。</t>
  </si>
  <si>
    <t>蓄力-爆发节奏</t>
  </si>
  <si>
    <t>狂战士</t>
  </si>
  <si>
    <t>攻击力额外+（已损失HP ÷ 4）。</t>
  </si>
  <si>
    <t>血越少越猛</t>
  </si>
  <si>
    <t>苦修者</t>
  </si>
  <si>
    <t>攻击后，自身受到2点伤害。</t>
  </si>
  <si>
    <t>自伤换伤害</t>
  </si>
  <si>
    <t>老兵</t>
  </si>
  <si>
    <t>每经过一个完整回合，永久攻击力+1（最多+3）。</t>
  </si>
  <si>
    <t>塔盾、圣光、独脚龟</t>
  </si>
  <si>
    <t>越拖越强</t>
  </si>
  <si>
    <t>击杀即续航</t>
  </si>
  <si>
    <t>食尸鬼</t>
  </si>
  <si>
    <t>击杀敌人后，永久攻击力+1（最多+3）。</t>
  </si>
  <si>
    <t>抢人头滚雪球</t>
  </si>
  <si>
    <t>专破圣盾</t>
  </si>
  <si>
    <t>星火法师</t>
  </si>
  <si>
    <t>溅射逼走位</t>
  </si>
  <si>
    <t>攻击时，若目标带有任意负面状态，伤害+2。</t>
  </si>
  <si>
    <t>毒蛇淑女、战锤、雪拳、巨剑、荆棘树人</t>
  </si>
  <si>
    <t>专打带状态的敌人</t>
  </si>
  <si>
    <t>若本回合移动了3格或更多，本次攻击伤害+2。</t>
  </si>
  <si>
    <t>长距离冲刺</t>
  </si>
  <si>
    <t>猩红骑士</t>
  </si>
  <si>
    <t>移动后，回复等同于本次移动距离的HP。</t>
  </si>
  <si>
    <t>风语者、大骑士、宿魂</t>
  </si>
  <si>
    <t>打带跑续航</t>
  </si>
  <si>
    <t>掠夺者</t>
  </si>
  <si>
    <t>攻击后，偷取目标1点攻击力（永久，最多+3）。</t>
  </si>
  <si>
    <t>塔盾、装甲堡垒、古拉博士</t>
  </si>
  <si>
    <t>塔盾、独脚龟、圣光</t>
  </si>
  <si>
    <t>专偷高攻单位</t>
  </si>
  <si>
    <t>推着走的炮台</t>
  </si>
  <si>
    <t>攻击后，将目标击退1格；若目标撞上其他单位，双方各受2点伤害。</t>
  </si>
  <si>
    <t>撞人连锁伤</t>
  </si>
  <si>
    <t>自爆机兵</t>
  </si>
  <si>
    <t>阵亡时，对相邻的所有敌人造成6点伤害。</t>
  </si>
  <si>
    <t>死亡威慑</t>
  </si>
  <si>
    <t>磁石兵</t>
  </si>
  <si>
    <t>己方回合开始时，将相邻的所有敌人拉近1格。</t>
  </si>
  <si>
    <t>能承受集火的角色</t>
  </si>
  <si>
    <t>烛火、末日、白游侠</t>
  </si>
  <si>
    <t>把敌人拽过来</t>
  </si>
  <si>
    <t>潮汐师</t>
  </si>
  <si>
    <t>攻击后，将目标推开1格，然后自己移动到目标原来的位置。</t>
  </si>
  <si>
    <t>复仇者、荆棘树人</t>
  </si>
  <si>
    <t>推开并抢占位置</t>
  </si>
  <si>
    <t>换位僧</t>
  </si>
  <si>
    <t>移动后，可与相邻的任意单位（含敌人）交换位置。</t>
  </si>
  <si>
    <t>把谁放到哪</t>
  </si>
  <si>
    <t>全场减速</t>
  </si>
  <si>
    <t>干扰者</t>
  </si>
  <si>
    <t>相邻的敌人无法使用技能。</t>
  </si>
  <si>
    <t>烛火、圣光、复仇者、暗域、古灵精怪、嬉皮死神、涌电技师、红帽、宿魂、共鸣者、荆棘树人、沉默术士</t>
  </si>
  <si>
    <t>贴脸封技能</t>
  </si>
  <si>
    <t>伪旗手</t>
  </si>
  <si>
    <t>己方回合开始时，令相邻的一名队友获得[嘲讽]，直到回合结束。</t>
  </si>
  <si>
    <t>能站在后排输出的角色</t>
  </si>
  <si>
    <t>操控敌人打谁</t>
  </si>
  <si>
    <t>反伤机兵</t>
  </si>
  <si>
    <t>近战不敢碰</t>
  </si>
  <si>
    <t>荆棘卫士</t>
  </si>
  <si>
    <t>受到远程攻击时，对攻击者造成2点伤害。</t>
  </si>
  <si>
    <t>能提供治疗的角色</t>
  </si>
  <si>
    <t>白游侠、坠炮手、风语者、烈焰祭司</t>
  </si>
  <si>
    <t>影丸、火枪手、战锤</t>
  </si>
  <si>
    <t>远程不敢点</t>
  </si>
  <si>
    <t>鼠队长、死灵法师、猎颅者、白游侠</t>
  </si>
  <si>
    <t>免疫小伤害</t>
  </si>
  <si>
    <t>冰霜守卫</t>
  </si>
  <si>
    <t>被攻击后，令攻击者获得[冰冻]，直到其回合结束。</t>
  </si>
  <si>
    <t>医护兵、德鲁伊</t>
  </si>
  <si>
    <t>挨打就冻住对方</t>
  </si>
  <si>
    <t>盾击兵</t>
  </si>
  <si>
    <t>攻击后，将目标击退1格。</t>
  </si>
  <si>
    <t>盾撞击退</t>
  </si>
  <si>
    <t>守株待兔回血</t>
  </si>
  <si>
    <t>哨兵</t>
  </si>
  <si>
    <t>若本回合没有攻击，回合结束时获得[圣盾]。</t>
  </si>
  <si>
    <t>打或守的抉择</t>
  </si>
  <si>
    <t>掩护后排</t>
  </si>
  <si>
    <t>死了也给全队加攻</t>
  </si>
  <si>
    <t>全队解状态</t>
  </si>
  <si>
    <t>攻击后，令目标无法回复HP，直到对方回合结束。</t>
  </si>
  <si>
    <t>掐断回血</t>
  </si>
  <si>
    <t>战地医师</t>
  </si>
  <si>
    <t>己方回合结束时，治疗相邻的所有队友2点HP。</t>
  </si>
  <si>
    <t>抱团才回血</t>
  </si>
  <si>
    <t>鲜血祭司</t>
  </si>
  <si>
    <t>攻击后，回复相邻队友3点HP。</t>
  </si>
  <si>
    <t>边打边奶</t>
  </si>
  <si>
    <t>圣盾工匠</t>
  </si>
  <si>
    <t>己方回合开始时，令相邻的一名队友获得[圣盾]。</t>
  </si>
  <si>
    <t>贴着谁谁有盾</t>
  </si>
  <si>
    <t>战吼者</t>
  </si>
  <si>
    <t>攻击后，令相邻的队友攻击力+1，直到回合结束。</t>
  </si>
  <si>
    <t>冲上去开团</t>
  </si>
  <si>
    <t>面板攻6空档</t>
  </si>
  <si>
    <t>5攻疾行空档</t>
  </si>
  <si>
    <t>渗透直取后排</t>
  </si>
  <si>
    <t>4攻远程空档</t>
  </si>
  <si>
    <t>玩法定位</t>
    <phoneticPr fontId="1" type="noConversion"/>
  </si>
  <si>
    <t>毒蛇淑女、烛火x3、圣光、复仇者、暗域、古灵精怪、嬉皮死神、涌电技师、红帽x2、宿魂、共鸣者x3、荆棘树人</t>
    <phoneticPr fontId="1" type="noConversion"/>
  </si>
  <si>
    <t>嬉皮死神×3、烛火×2、炸弹人×2</t>
    <phoneticPr fontId="1" type="noConversion"/>
  </si>
  <si>
    <t>影丸、火枪手、赏金猎人</t>
    <phoneticPr fontId="1" type="noConversion"/>
  </si>
  <si>
    <t>嬉皮死神×3</t>
    <phoneticPr fontId="1" type="noConversion"/>
  </si>
  <si>
    <t>毒蛇淑女、白游侠、小阴影、烛火、长剑、赏金猎人、圣光、复仇者、暗域x2、嬉皮死神、长角、沉默术士、黄金矿工、风语者、宿魂、共鸣者、荆棘树人</t>
    <phoneticPr fontId="1" type="noConversion"/>
  </si>
  <si>
    <t>影丸、烈焰祭司、沉默术士、风语者、坠炮手x3、涌电技师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</si>
</sst>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12"/>
      <color theme="1"/>
      <name val="Segoe UI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Segoe UI"/>
      <family val="2"/>
    </font>
    <font>
      <b/>
      <sz val="12"/>
      <color rgb="FF333333"/>
      <name val="等线"/>
      <family val="2"/>
    </font>
    <font>
      <b/>
      <sz val="12"/>
      <color rgb="FF333333"/>
      <name val="宋体"/>
      <family val="2"/>
      <charset val="134"/>
    </font>
    <font>
      <sz val="12"/>
      <color rgb="FF333333"/>
      <name val="微软雅黑"/>
      <family val="2"/>
      <charset val="134"/>
    </font>
    <font>
      <sz val="12"/>
      <color rgb="FF333333"/>
      <name val="宋体"/>
      <family val="2"/>
      <charset val="134"/>
    </font>
    <font>
      <b/>
      <sz val="19.25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12"/>
      <color rgb="FF333333"/>
      <name val="宋体"/>
      <family val="3"/>
      <charset val="134"/>
    </font>
    <font>
      <b/>
      <sz val="12"/>
      <color rgb="FF333333"/>
      <name val="微软雅黑"/>
      <family val="2"/>
      <charset val="134"/>
    </font>
    <font>
      <sz val="12"/>
      <color rgb="FF333333"/>
      <name val="Arial"/>
      <family val="2"/>
      <charset val="134"/>
    </font>
    <font>
      <b/>
      <sz val="19.25"/>
      <color rgb="FF333333"/>
      <name val="微软雅黑"/>
      <family val="2"/>
      <charset val="134"/>
    </font>
    <font>
      <b/>
      <sz val="16"/>
      <color rgb="FF333333"/>
      <name val="宋体"/>
      <family val="3"/>
      <charset val="134"/>
    </font>
    <font>
      <sz val="10"/>
      <color rgb="FF333333"/>
      <name val="Arial"/>
      <family val="2"/>
    </font>
    <font>
      <sz val="10"/>
      <color rgb="FF333333"/>
      <name val="宋体"/>
      <family val="2"/>
      <charset val="134"/>
    </font>
    <font>
      <b/>
      <sz val="11"/>
      <color rgb="FF333333"/>
      <name val="Arial"/>
      <family val="2"/>
    </font>
    <font>
      <b/>
      <sz val="11"/>
      <color rgb="FF3333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topLeftCell="C1" zoomScaleNormal="100" workbookViewId="0">
      <pane ySplit="1" topLeftCell="A35" activePane="bottomLeft" state="frozen"/>
      <selection pane="bottomLeft" activeCell="S38" sqref="S38"/>
    </sheetView>
  </sheetViews>
  <sheetFormatPr defaultRowHeight="14.25" x14ac:dyDescent="0.2"/>
  <cols>
    <col min="1" max="1" width="8" style="7" bestFit="1" customWidth="1"/>
    <col min="2" max="2" width="9" style="7"/>
    <col min="3" max="3" width="9.75" style="7" bestFit="1" customWidth="1"/>
    <col min="4" max="6" width="9" style="7"/>
    <col min="7" max="7" width="34.375" style="7" bestFit="1" customWidth="1"/>
    <col min="8" max="8" width="18.25" style="7" bestFit="1" customWidth="1"/>
    <col min="9" max="9" width="22.875" style="27" customWidth="1"/>
    <col min="10" max="10" width="14.875" style="7" customWidth="1"/>
    <col min="11" max="11" width="9" style="7" customWidth="1"/>
    <col min="12" max="13" width="9" style="7"/>
    <col min="14" max="14" width="10.5" style="7" customWidth="1"/>
    <col min="15" max="18" width="9" style="7"/>
    <col min="19" max="19" width="28.125" style="27" customWidth="1"/>
    <col min="20" max="16384" width="9" style="7"/>
  </cols>
  <sheetData>
    <row r="1" spans="1:19" s="15" customFormat="1" ht="15.75" x14ac:dyDescent="0.2">
      <c r="A1" s="13" t="s">
        <v>0</v>
      </c>
      <c r="B1" s="14" t="s">
        <v>158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117</v>
      </c>
      <c r="M1" s="13" t="s">
        <v>118</v>
      </c>
      <c r="N1" s="14" t="s">
        <v>121</v>
      </c>
      <c r="O1" s="13" t="s">
        <v>119</v>
      </c>
      <c r="P1" s="14" t="s">
        <v>122</v>
      </c>
      <c r="Q1" s="13" t="s">
        <v>120</v>
      </c>
      <c r="R1" s="14" t="s">
        <v>154</v>
      </c>
      <c r="S1" s="27" t="s">
        <v>216</v>
      </c>
    </row>
    <row r="2" spans="1:19" ht="15" x14ac:dyDescent="0.2">
      <c r="A2" s="9">
        <v>1</v>
      </c>
      <c r="B2" s="10" t="s">
        <v>157</v>
      </c>
      <c r="C2" s="9" t="s">
        <v>10</v>
      </c>
      <c r="D2" s="9">
        <v>3</v>
      </c>
      <c r="E2" s="9">
        <v>27</v>
      </c>
      <c r="F2" s="9"/>
      <c r="G2" s="20" t="s">
        <v>11</v>
      </c>
      <c r="H2" s="9" t="s">
        <v>12</v>
      </c>
      <c r="I2" s="9"/>
      <c r="J2" s="9"/>
      <c r="K2" s="9"/>
      <c r="L2" s="10">
        <f t="shared" ref="L2:L33" si="0">D2*2.2+E2*0.45</f>
        <v>18.75</v>
      </c>
      <c r="M2" s="10">
        <f t="shared" ref="M2:M33" si="1">SUM(IF(ISNUMBER(SEARCH("疾行",F2)),1.5,0), IF(ISNUMBER(SEARCH("渗透",F2)),1.5,0), IF(ISNUMBER(SEARCH("嘲讽",F2)),-1,0), IF(ISNUMBER(SEARCH("后勤",F2)),1,0))</f>
        <v>0</v>
      </c>
      <c r="N2" s="10">
        <v>0</v>
      </c>
      <c r="O2" s="10">
        <f>N2*2.2</f>
        <v>0</v>
      </c>
      <c r="P2" s="10"/>
      <c r="Q2" s="10">
        <f t="shared" ref="Q2:Q33" si="2">L2+M2+O2+P2</f>
        <v>18.75</v>
      </c>
      <c r="R2" s="10" t="s">
        <v>155</v>
      </c>
    </row>
    <row r="3" spans="1:19" ht="69" x14ac:dyDescent="0.2">
      <c r="A3" s="9">
        <v>2</v>
      </c>
      <c r="B3" s="10" t="s">
        <v>157</v>
      </c>
      <c r="C3" s="9" t="s">
        <v>13</v>
      </c>
      <c r="D3" s="9">
        <v>2</v>
      </c>
      <c r="E3" s="9">
        <v>24</v>
      </c>
      <c r="F3" s="9" t="s">
        <v>14</v>
      </c>
      <c r="G3" s="22" t="s">
        <v>215</v>
      </c>
      <c r="H3" s="9" t="s">
        <v>15</v>
      </c>
      <c r="I3" s="9"/>
      <c r="J3" s="9"/>
      <c r="K3" s="9"/>
      <c r="L3" s="10">
        <f t="shared" si="0"/>
        <v>15.200000000000001</v>
      </c>
      <c r="M3" s="10">
        <f t="shared" si="1"/>
        <v>1.5</v>
      </c>
      <c r="N3" s="10">
        <v>0</v>
      </c>
      <c r="O3" s="10">
        <f>N3*2.2</f>
        <v>0</v>
      </c>
      <c r="P3" s="10">
        <v>1</v>
      </c>
      <c r="Q3" s="10">
        <f t="shared" si="2"/>
        <v>17.700000000000003</v>
      </c>
      <c r="R3" s="10" t="s">
        <v>156</v>
      </c>
      <c r="S3" s="12" t="s">
        <v>219</v>
      </c>
    </row>
    <row r="4" spans="1:19" ht="15" x14ac:dyDescent="0.2">
      <c r="A4" s="9">
        <v>3</v>
      </c>
      <c r="B4" s="10" t="s">
        <v>161</v>
      </c>
      <c r="C4" s="9" t="s">
        <v>16</v>
      </c>
      <c r="D4" s="9">
        <v>1</v>
      </c>
      <c r="E4" s="9">
        <v>21</v>
      </c>
      <c r="F4" s="9"/>
      <c r="G4" s="20" t="s">
        <v>17</v>
      </c>
      <c r="H4" s="9"/>
      <c r="I4" s="28" t="s">
        <v>58</v>
      </c>
      <c r="J4" t="s">
        <v>63</v>
      </c>
      <c r="K4" s="9"/>
      <c r="L4" s="10">
        <f t="shared" si="0"/>
        <v>11.650000000000002</v>
      </c>
      <c r="M4" s="10">
        <f t="shared" si="1"/>
        <v>0</v>
      </c>
      <c r="N4" s="10">
        <v>3</v>
      </c>
      <c r="O4" s="10">
        <f>N4*2.2</f>
        <v>6.6000000000000005</v>
      </c>
      <c r="P4" s="10"/>
      <c r="Q4" s="10">
        <f t="shared" si="2"/>
        <v>18.250000000000004</v>
      </c>
      <c r="R4" s="10" t="s">
        <v>164</v>
      </c>
      <c r="S4" s="27" t="s">
        <v>220</v>
      </c>
    </row>
    <row r="5" spans="1:19" ht="15" x14ac:dyDescent="0.2">
      <c r="A5" s="9">
        <v>4</v>
      </c>
      <c r="B5" s="10" t="s">
        <v>161</v>
      </c>
      <c r="C5" s="9" t="s">
        <v>18</v>
      </c>
      <c r="D5" s="9">
        <v>4</v>
      </c>
      <c r="E5" s="9">
        <v>18</v>
      </c>
      <c r="F5" s="9" t="s">
        <v>14</v>
      </c>
      <c r="G5" s="20"/>
      <c r="H5" s="9"/>
      <c r="I5" s="9"/>
      <c r="J5" s="9"/>
      <c r="K5" s="9"/>
      <c r="L5" s="10">
        <f t="shared" si="0"/>
        <v>16.899999999999999</v>
      </c>
      <c r="M5" s="10">
        <f t="shared" si="1"/>
        <v>1.5</v>
      </c>
      <c r="N5" s="10">
        <v>0</v>
      </c>
      <c r="O5" s="10">
        <f>N5*2.2</f>
        <v>0</v>
      </c>
      <c r="P5" s="10"/>
      <c r="Q5" s="10">
        <f t="shared" si="2"/>
        <v>18.399999999999999</v>
      </c>
      <c r="R5" s="10" t="s">
        <v>155</v>
      </c>
    </row>
    <row r="6" spans="1:19" ht="45" x14ac:dyDescent="0.2">
      <c r="A6" s="9">
        <v>5</v>
      </c>
      <c r="B6" s="10" t="s">
        <v>159</v>
      </c>
      <c r="C6" s="9" t="s">
        <v>19</v>
      </c>
      <c r="D6" s="9">
        <v>3</v>
      </c>
      <c r="E6" s="9">
        <v>19</v>
      </c>
      <c r="F6" s="9" t="s">
        <v>20</v>
      </c>
      <c r="G6" s="22" t="s">
        <v>180</v>
      </c>
      <c r="H6" s="9" t="s">
        <v>21</v>
      </c>
      <c r="I6" s="9"/>
      <c r="J6" s="9"/>
      <c r="L6" s="10">
        <f t="shared" si="0"/>
        <v>15.150000000000002</v>
      </c>
      <c r="M6" s="10">
        <f t="shared" si="1"/>
        <v>0</v>
      </c>
      <c r="N6" s="10">
        <v>1</v>
      </c>
      <c r="O6" s="10">
        <f>N6*2.2</f>
        <v>2.2000000000000002</v>
      </c>
      <c r="P6" s="10"/>
      <c r="Q6" s="10">
        <f t="shared" si="2"/>
        <v>17.350000000000001</v>
      </c>
      <c r="R6" s="10" t="s">
        <v>156</v>
      </c>
      <c r="S6" s="27" t="s">
        <v>443</v>
      </c>
    </row>
    <row r="7" spans="1:19" ht="45" x14ac:dyDescent="0.2">
      <c r="A7" s="9">
        <v>6</v>
      </c>
      <c r="B7" s="10" t="s">
        <v>157</v>
      </c>
      <c r="C7" s="9" t="s">
        <v>22</v>
      </c>
      <c r="D7" s="9">
        <v>3</v>
      </c>
      <c r="E7" s="9">
        <v>16</v>
      </c>
      <c r="F7" s="9" t="s">
        <v>128</v>
      </c>
      <c r="G7" s="20" t="s">
        <v>23</v>
      </c>
      <c r="H7" s="9" t="s">
        <v>24</v>
      </c>
      <c r="I7" s="9"/>
      <c r="J7" s="9"/>
      <c r="K7" s="9"/>
      <c r="L7" s="10">
        <f t="shared" si="0"/>
        <v>13.8</v>
      </c>
      <c r="M7" s="10">
        <f t="shared" si="1"/>
        <v>1.5</v>
      </c>
      <c r="N7" s="10">
        <v>3</v>
      </c>
      <c r="O7" s="10">
        <f>N7*0.45</f>
        <v>1.35</v>
      </c>
      <c r="P7" s="10"/>
      <c r="Q7" s="10">
        <f t="shared" si="2"/>
        <v>16.650000000000002</v>
      </c>
      <c r="R7" s="10" t="s">
        <v>156</v>
      </c>
      <c r="S7" s="9"/>
    </row>
    <row r="8" spans="1:19" ht="34.5" x14ac:dyDescent="0.2">
      <c r="A8" s="9">
        <v>7</v>
      </c>
      <c r="B8" s="10" t="s">
        <v>157</v>
      </c>
      <c r="C8" s="9" t="s">
        <v>25</v>
      </c>
      <c r="D8" s="9">
        <v>5</v>
      </c>
      <c r="E8" s="9">
        <v>14</v>
      </c>
      <c r="F8" s="9" t="s">
        <v>128</v>
      </c>
      <c r="G8" s="20"/>
      <c r="H8" s="9" t="s">
        <v>26</v>
      </c>
      <c r="I8" s="9"/>
      <c r="J8" s="9"/>
      <c r="K8" s="9"/>
      <c r="L8" s="10">
        <f t="shared" si="0"/>
        <v>17.3</v>
      </c>
      <c r="M8" s="10">
        <f t="shared" si="1"/>
        <v>1.5</v>
      </c>
      <c r="N8" s="10"/>
      <c r="O8" s="10">
        <f>N8*2.2</f>
        <v>0</v>
      </c>
      <c r="P8" s="10"/>
      <c r="Q8" s="10">
        <f t="shared" si="2"/>
        <v>18.8</v>
      </c>
      <c r="R8" s="10" t="s">
        <v>155</v>
      </c>
      <c r="S8" s="9"/>
    </row>
    <row r="9" spans="1:19" ht="34.5" x14ac:dyDescent="0.2">
      <c r="A9" s="9">
        <v>8</v>
      </c>
      <c r="B9" s="10" t="s">
        <v>160</v>
      </c>
      <c r="C9" s="9" t="s">
        <v>27</v>
      </c>
      <c r="D9" s="9">
        <v>2</v>
      </c>
      <c r="E9" s="9">
        <v>20</v>
      </c>
      <c r="F9" s="9" t="s">
        <v>20</v>
      </c>
      <c r="G9" s="21" t="s">
        <v>181</v>
      </c>
      <c r="H9" s="9" t="s">
        <v>28</v>
      </c>
      <c r="I9" s="9"/>
      <c r="J9" s="9"/>
      <c r="K9" s="9"/>
      <c r="L9" s="10">
        <f t="shared" si="0"/>
        <v>13.4</v>
      </c>
      <c r="M9" s="10">
        <f t="shared" si="1"/>
        <v>0</v>
      </c>
      <c r="N9" s="10">
        <v>4</v>
      </c>
      <c r="O9" s="10">
        <f>N9*0.45</f>
        <v>1.8</v>
      </c>
      <c r="P9" s="10"/>
      <c r="Q9" s="10">
        <f t="shared" si="2"/>
        <v>15.200000000000001</v>
      </c>
      <c r="R9" s="10" t="s">
        <v>156</v>
      </c>
      <c r="S9" s="12" t="s">
        <v>221</v>
      </c>
    </row>
    <row r="10" spans="1:19" ht="15" x14ac:dyDescent="0.2">
      <c r="A10" s="9">
        <v>9</v>
      </c>
      <c r="B10" s="10" t="s">
        <v>157</v>
      </c>
      <c r="C10" s="9" t="s">
        <v>29</v>
      </c>
      <c r="D10" s="9">
        <v>4</v>
      </c>
      <c r="E10" s="9">
        <v>20</v>
      </c>
      <c r="F10" s="9" t="s">
        <v>20</v>
      </c>
      <c r="G10" s="20"/>
      <c r="H10" s="9"/>
      <c r="I10" s="9"/>
      <c r="J10" s="9"/>
      <c r="K10" s="9"/>
      <c r="L10" s="10">
        <f t="shared" si="0"/>
        <v>17.8</v>
      </c>
      <c r="M10" s="10">
        <f t="shared" si="1"/>
        <v>0</v>
      </c>
      <c r="N10" s="10"/>
      <c r="O10" s="10">
        <f>N10*2.2</f>
        <v>0</v>
      </c>
      <c r="P10" s="10"/>
      <c r="Q10" s="10">
        <f t="shared" si="2"/>
        <v>17.8</v>
      </c>
      <c r="R10" s="10" t="s">
        <v>155</v>
      </c>
    </row>
    <row r="11" spans="1:19" ht="34.5" x14ac:dyDescent="0.2">
      <c r="A11" s="9">
        <v>10</v>
      </c>
      <c r="B11" s="10" t="s">
        <v>160</v>
      </c>
      <c r="C11" s="9" t="s">
        <v>30</v>
      </c>
      <c r="D11" s="9">
        <v>2</v>
      </c>
      <c r="E11" s="9">
        <v>19</v>
      </c>
      <c r="F11" s="9" t="s">
        <v>128</v>
      </c>
      <c r="G11" s="20" t="s">
        <v>31</v>
      </c>
      <c r="H11" s="9" t="s">
        <v>28</v>
      </c>
      <c r="I11" s="9"/>
      <c r="J11" s="9"/>
      <c r="K11" s="9"/>
      <c r="L11" s="10">
        <f t="shared" si="0"/>
        <v>12.950000000000001</v>
      </c>
      <c r="M11" s="10">
        <f t="shared" si="1"/>
        <v>1.5</v>
      </c>
      <c r="N11" s="10">
        <v>2</v>
      </c>
      <c r="O11" s="10">
        <f>N11*2.2</f>
        <v>4.4000000000000004</v>
      </c>
      <c r="P11" s="10"/>
      <c r="Q11" s="10">
        <f t="shared" si="2"/>
        <v>18.850000000000001</v>
      </c>
      <c r="R11" s="10" t="s">
        <v>164</v>
      </c>
      <c r="S11" s="12" t="s">
        <v>221</v>
      </c>
    </row>
    <row r="12" spans="1:19" ht="30" x14ac:dyDescent="0.2">
      <c r="A12" s="9">
        <v>11</v>
      </c>
      <c r="B12" s="10" t="s">
        <v>157</v>
      </c>
      <c r="C12" s="9" t="s">
        <v>32</v>
      </c>
      <c r="D12" s="9">
        <v>1</v>
      </c>
      <c r="E12" s="9">
        <v>40</v>
      </c>
      <c r="F12" s="9" t="s">
        <v>33</v>
      </c>
      <c r="G12" s="20" t="s">
        <v>34</v>
      </c>
      <c r="H12" s="9"/>
      <c r="I12" s="9"/>
      <c r="J12" s="9"/>
      <c r="K12" s="9"/>
      <c r="L12" s="10">
        <f t="shared" si="0"/>
        <v>20.2</v>
      </c>
      <c r="M12" s="10">
        <f t="shared" si="1"/>
        <v>-1</v>
      </c>
      <c r="N12" s="10">
        <v>0</v>
      </c>
      <c r="O12" s="10">
        <f>N12*2.2</f>
        <v>0</v>
      </c>
      <c r="P12" s="10"/>
      <c r="Q12" s="10">
        <f t="shared" si="2"/>
        <v>19.2</v>
      </c>
      <c r="R12" s="10" t="s">
        <v>165</v>
      </c>
    </row>
    <row r="13" spans="1:19" ht="15" x14ac:dyDescent="0.2">
      <c r="A13" s="9">
        <v>12</v>
      </c>
      <c r="B13" s="10" t="s">
        <v>157</v>
      </c>
      <c r="C13" s="9" t="s">
        <v>35</v>
      </c>
      <c r="D13" s="9">
        <v>2</v>
      </c>
      <c r="E13" s="9">
        <v>24</v>
      </c>
      <c r="F13" s="9" t="s">
        <v>33</v>
      </c>
      <c r="G13" s="20" t="s">
        <v>36</v>
      </c>
      <c r="H13" s="9"/>
      <c r="I13" s="9"/>
      <c r="J13" s="9"/>
      <c r="K13" s="9"/>
      <c r="L13" s="10">
        <f t="shared" si="0"/>
        <v>15.200000000000001</v>
      </c>
      <c r="M13" s="10">
        <f t="shared" si="1"/>
        <v>-1</v>
      </c>
      <c r="N13" s="10">
        <v>2</v>
      </c>
      <c r="O13" s="10">
        <f>N13*2.2</f>
        <v>4.4000000000000004</v>
      </c>
      <c r="P13" s="10"/>
      <c r="Q13" s="10">
        <f t="shared" si="2"/>
        <v>18.600000000000001</v>
      </c>
      <c r="R13" s="10" t="s">
        <v>165</v>
      </c>
    </row>
    <row r="14" spans="1:19" ht="15" x14ac:dyDescent="0.2">
      <c r="A14" s="9">
        <v>13</v>
      </c>
      <c r="B14" s="10" t="s">
        <v>161</v>
      </c>
      <c r="C14" s="9" t="s">
        <v>38</v>
      </c>
      <c r="D14" s="9">
        <v>2</v>
      </c>
      <c r="E14" s="9">
        <v>33</v>
      </c>
      <c r="F14" s="9" t="s">
        <v>33</v>
      </c>
      <c r="G14" s="20"/>
      <c r="H14" s="9"/>
      <c r="I14" s="9"/>
      <c r="J14" s="9"/>
      <c r="K14" s="9"/>
      <c r="L14" s="10">
        <f t="shared" si="0"/>
        <v>19.25</v>
      </c>
      <c r="M14" s="10">
        <f t="shared" si="1"/>
        <v>-1</v>
      </c>
      <c r="N14" s="10">
        <v>0</v>
      </c>
      <c r="O14" s="10">
        <f>N14*2.2</f>
        <v>0</v>
      </c>
      <c r="P14" s="10"/>
      <c r="Q14" s="10">
        <f t="shared" si="2"/>
        <v>18.25</v>
      </c>
      <c r="R14" s="10" t="s">
        <v>165</v>
      </c>
    </row>
    <row r="15" spans="1:19" ht="45" x14ac:dyDescent="0.2">
      <c r="A15" s="9">
        <v>14</v>
      </c>
      <c r="B15" s="10" t="s">
        <v>159</v>
      </c>
      <c r="C15" s="9" t="s">
        <v>39</v>
      </c>
      <c r="D15" s="9">
        <v>4</v>
      </c>
      <c r="E15" s="9">
        <v>15</v>
      </c>
      <c r="F15" s="9"/>
      <c r="G15" s="20" t="s">
        <v>40</v>
      </c>
      <c r="H15" s="9" t="s">
        <v>41</v>
      </c>
      <c r="I15" s="9"/>
      <c r="J15" s="9"/>
      <c r="K15" s="9"/>
      <c r="L15" s="10">
        <f t="shared" si="0"/>
        <v>15.55</v>
      </c>
      <c r="M15" s="10">
        <f t="shared" si="1"/>
        <v>0</v>
      </c>
      <c r="N15" s="10">
        <v>4</v>
      </c>
      <c r="O15" s="10">
        <f>N15*0.45</f>
        <v>1.8</v>
      </c>
      <c r="P15" s="10"/>
      <c r="Q15" s="10">
        <f t="shared" si="2"/>
        <v>17.350000000000001</v>
      </c>
      <c r="R15" s="10" t="s">
        <v>164</v>
      </c>
      <c r="S15" s="9"/>
    </row>
    <row r="16" spans="1:19" ht="30" x14ac:dyDescent="0.2">
      <c r="A16" s="9">
        <v>15</v>
      </c>
      <c r="B16" s="10" t="s">
        <v>159</v>
      </c>
      <c r="C16" s="9" t="s">
        <v>42</v>
      </c>
      <c r="D16" s="9">
        <v>3</v>
      </c>
      <c r="E16" s="9">
        <v>18</v>
      </c>
      <c r="F16" s="9" t="s">
        <v>14</v>
      </c>
      <c r="G16" s="20" t="s">
        <v>43</v>
      </c>
      <c r="H16" s="9" t="s">
        <v>28</v>
      </c>
      <c r="I16" s="9"/>
      <c r="J16" s="9"/>
      <c r="K16" s="9"/>
      <c r="L16" s="10">
        <f t="shared" si="0"/>
        <v>14.7</v>
      </c>
      <c r="M16" s="10">
        <f t="shared" si="1"/>
        <v>1.5</v>
      </c>
      <c r="N16" s="10">
        <v>1.5</v>
      </c>
      <c r="O16" s="10">
        <f>N16*2.2</f>
        <v>3.3000000000000003</v>
      </c>
      <c r="P16" s="10"/>
      <c r="Q16" s="10">
        <f t="shared" si="2"/>
        <v>19.5</v>
      </c>
      <c r="R16" s="10" t="s">
        <v>164</v>
      </c>
      <c r="S16" s="12"/>
    </row>
    <row r="17" spans="1:19" ht="15" x14ac:dyDescent="0.2">
      <c r="A17" s="9">
        <v>16</v>
      </c>
      <c r="B17" s="10" t="s">
        <v>162</v>
      </c>
      <c r="C17" s="9" t="s">
        <v>44</v>
      </c>
      <c r="D17" s="9">
        <v>4</v>
      </c>
      <c r="E17" s="9">
        <v>16</v>
      </c>
      <c r="F17" s="9" t="s">
        <v>45</v>
      </c>
      <c r="G17" s="20" t="s">
        <v>46</v>
      </c>
      <c r="H17" s="9"/>
      <c r="I17" s="9"/>
      <c r="J17" s="9"/>
      <c r="K17" s="9"/>
      <c r="L17" s="10">
        <f t="shared" si="0"/>
        <v>16</v>
      </c>
      <c r="M17" s="10">
        <f t="shared" si="1"/>
        <v>0</v>
      </c>
      <c r="N17" s="10">
        <v>6</v>
      </c>
      <c r="O17" s="10">
        <f>N17*0.45</f>
        <v>2.7</v>
      </c>
      <c r="P17" s="10"/>
      <c r="Q17" s="10">
        <f t="shared" si="2"/>
        <v>18.7</v>
      </c>
      <c r="R17" s="10" t="s">
        <v>156</v>
      </c>
    </row>
    <row r="18" spans="1:19" ht="34.5" x14ac:dyDescent="0.2">
      <c r="A18" s="9">
        <v>17</v>
      </c>
      <c r="B18" s="10" t="s">
        <v>160</v>
      </c>
      <c r="C18" s="9" t="s">
        <v>47</v>
      </c>
      <c r="D18" s="9">
        <v>3</v>
      </c>
      <c r="E18" s="9">
        <v>17</v>
      </c>
      <c r="F18" s="9" t="s">
        <v>209</v>
      </c>
      <c r="G18" s="20" t="s">
        <v>48</v>
      </c>
      <c r="H18" s="12" t="s">
        <v>211</v>
      </c>
      <c r="I18" s="9"/>
      <c r="J18" s="9"/>
      <c r="K18" s="9"/>
      <c r="L18" s="10">
        <f t="shared" si="0"/>
        <v>14.25</v>
      </c>
      <c r="M18" s="10">
        <f t="shared" si="1"/>
        <v>2.5</v>
      </c>
      <c r="N18" s="10">
        <v>2</v>
      </c>
      <c r="O18" s="10">
        <f>N18*2.2</f>
        <v>4.4000000000000004</v>
      </c>
      <c r="P18" s="10"/>
      <c r="Q18" s="10">
        <f t="shared" si="2"/>
        <v>21.15</v>
      </c>
      <c r="R18" s="10" t="s">
        <v>164</v>
      </c>
      <c r="S18" s="12" t="s">
        <v>223</v>
      </c>
    </row>
    <row r="19" spans="1:19" ht="30" x14ac:dyDescent="0.2">
      <c r="A19" s="9">
        <v>18</v>
      </c>
      <c r="B19" s="10" t="s">
        <v>157</v>
      </c>
      <c r="C19" s="9" t="s">
        <v>49</v>
      </c>
      <c r="D19" s="9">
        <v>3</v>
      </c>
      <c r="E19" s="9">
        <v>18</v>
      </c>
      <c r="F19" s="9" t="s">
        <v>14</v>
      </c>
      <c r="G19" s="20" t="s">
        <v>50</v>
      </c>
      <c r="H19" s="9" t="s">
        <v>28</v>
      </c>
      <c r="I19" s="9"/>
      <c r="J19" s="9"/>
      <c r="K19" s="9"/>
      <c r="L19" s="10">
        <f t="shared" si="0"/>
        <v>14.7</v>
      </c>
      <c r="M19" s="10">
        <f t="shared" si="1"/>
        <v>1.5</v>
      </c>
      <c r="N19" s="10">
        <v>2</v>
      </c>
      <c r="O19" s="10">
        <f>N19*2.2</f>
        <v>4.4000000000000004</v>
      </c>
      <c r="P19" s="10"/>
      <c r="Q19" s="10">
        <f t="shared" si="2"/>
        <v>20.6</v>
      </c>
      <c r="R19" s="10" t="s">
        <v>164</v>
      </c>
      <c r="S19" s="9" t="s">
        <v>47</v>
      </c>
    </row>
    <row r="20" spans="1:19" ht="34.5" x14ac:dyDescent="0.2">
      <c r="A20" s="9">
        <v>19</v>
      </c>
      <c r="B20" s="10" t="s">
        <v>157</v>
      </c>
      <c r="C20" s="9" t="s">
        <v>51</v>
      </c>
      <c r="D20" s="9">
        <v>1</v>
      </c>
      <c r="E20" s="9">
        <v>18</v>
      </c>
      <c r="F20" s="9" t="s">
        <v>20</v>
      </c>
      <c r="G20" s="20" t="s">
        <v>52</v>
      </c>
      <c r="H20" s="9" t="s">
        <v>53</v>
      </c>
      <c r="I20" s="9"/>
      <c r="J20" s="9"/>
      <c r="K20" s="9"/>
      <c r="L20" s="10">
        <f t="shared" si="0"/>
        <v>10.3</v>
      </c>
      <c r="M20" s="10">
        <f t="shared" si="1"/>
        <v>0</v>
      </c>
      <c r="N20" s="10">
        <v>3</v>
      </c>
      <c r="O20" s="10">
        <f>N20*2.2</f>
        <v>6.6000000000000005</v>
      </c>
      <c r="P20" s="10"/>
      <c r="Q20" s="10">
        <f t="shared" si="2"/>
        <v>16.900000000000002</v>
      </c>
      <c r="R20" s="10" t="s">
        <v>156</v>
      </c>
      <c r="S20" s="12" t="s">
        <v>224</v>
      </c>
    </row>
    <row r="21" spans="1:19" ht="57" x14ac:dyDescent="0.2">
      <c r="A21" s="9">
        <v>20</v>
      </c>
      <c r="B21" s="10" t="s">
        <v>157</v>
      </c>
      <c r="C21" s="9" t="s">
        <v>54</v>
      </c>
      <c r="D21" s="9">
        <v>3</v>
      </c>
      <c r="E21" s="9">
        <v>19</v>
      </c>
      <c r="F21" s="9" t="s">
        <v>177</v>
      </c>
      <c r="G21" s="21" t="s">
        <v>176</v>
      </c>
      <c r="H21" s="9" t="s">
        <v>28</v>
      </c>
      <c r="I21" s="28" t="s">
        <v>230</v>
      </c>
      <c r="J21" s="9"/>
      <c r="K21" s="9"/>
      <c r="L21" s="10">
        <f t="shared" si="0"/>
        <v>15.150000000000002</v>
      </c>
      <c r="M21" s="10">
        <f t="shared" si="1"/>
        <v>0</v>
      </c>
      <c r="N21" s="10">
        <v>2</v>
      </c>
      <c r="O21" s="10">
        <f>N21*2.2</f>
        <v>4.4000000000000004</v>
      </c>
      <c r="P21" s="10"/>
      <c r="Q21" s="10">
        <f t="shared" si="2"/>
        <v>19.550000000000004</v>
      </c>
      <c r="R21" s="10" t="s">
        <v>164</v>
      </c>
      <c r="S21" s="9"/>
    </row>
    <row r="22" spans="1:19" ht="45" x14ac:dyDescent="0.2">
      <c r="A22" s="9">
        <v>21</v>
      </c>
      <c r="B22" s="10" t="s">
        <v>160</v>
      </c>
      <c r="C22" s="9" t="s">
        <v>55</v>
      </c>
      <c r="D22" s="9">
        <v>3</v>
      </c>
      <c r="E22" s="9">
        <v>19</v>
      </c>
      <c r="F22" s="9" t="s">
        <v>20</v>
      </c>
      <c r="G22" s="20" t="s">
        <v>56</v>
      </c>
      <c r="H22" s="9" t="s">
        <v>57</v>
      </c>
      <c r="I22" s="9"/>
      <c r="J22" s="9"/>
      <c r="L22" s="10">
        <f t="shared" si="0"/>
        <v>15.150000000000002</v>
      </c>
      <c r="M22" s="10">
        <f t="shared" si="1"/>
        <v>0</v>
      </c>
      <c r="N22" s="10">
        <v>1.5</v>
      </c>
      <c r="O22" s="10">
        <f>N22*2.2</f>
        <v>3.3000000000000003</v>
      </c>
      <c r="P22" s="10"/>
      <c r="Q22" s="10">
        <f t="shared" si="2"/>
        <v>18.450000000000003</v>
      </c>
      <c r="R22" s="10" t="s">
        <v>156</v>
      </c>
      <c r="S22" s="27" t="s">
        <v>225</v>
      </c>
    </row>
    <row r="23" spans="1:19" ht="30" x14ac:dyDescent="0.2">
      <c r="A23" s="9">
        <v>22</v>
      </c>
      <c r="B23" s="10" t="s">
        <v>160</v>
      </c>
      <c r="C23" s="9" t="s">
        <v>58</v>
      </c>
      <c r="D23" s="9">
        <v>2</v>
      </c>
      <c r="E23" s="9">
        <v>21</v>
      </c>
      <c r="F23" s="9" t="s">
        <v>33</v>
      </c>
      <c r="G23" s="20" t="s">
        <v>207</v>
      </c>
      <c r="H23" s="9"/>
      <c r="I23" s="11"/>
      <c r="J23" s="9"/>
      <c r="K23" s="9"/>
      <c r="L23" s="10">
        <f t="shared" si="0"/>
        <v>13.850000000000001</v>
      </c>
      <c r="M23" s="10">
        <f t="shared" si="1"/>
        <v>-1</v>
      </c>
      <c r="N23" s="10">
        <v>3</v>
      </c>
      <c r="O23" s="10">
        <f>N23*0.45</f>
        <v>1.35</v>
      </c>
      <c r="P23" s="10">
        <v>4</v>
      </c>
      <c r="Q23" s="10">
        <f t="shared" si="2"/>
        <v>18.200000000000003</v>
      </c>
      <c r="R23" s="10" t="s">
        <v>165</v>
      </c>
    </row>
    <row r="24" spans="1:19" ht="28.5" x14ac:dyDescent="0.2">
      <c r="A24" s="9">
        <v>23</v>
      </c>
      <c r="B24" s="10" t="s">
        <v>157</v>
      </c>
      <c r="C24" s="9" t="s">
        <v>59</v>
      </c>
      <c r="D24" s="9">
        <v>2</v>
      </c>
      <c r="E24" s="9">
        <v>26</v>
      </c>
      <c r="F24" s="9" t="s">
        <v>33</v>
      </c>
      <c r="G24" s="20" t="s">
        <v>60</v>
      </c>
      <c r="H24" s="9"/>
      <c r="I24" s="9"/>
      <c r="J24" s="11" t="s">
        <v>444</v>
      </c>
      <c r="K24" s="9"/>
      <c r="L24" s="10">
        <f t="shared" si="0"/>
        <v>16.100000000000001</v>
      </c>
      <c r="M24" s="10">
        <f t="shared" si="1"/>
        <v>-1</v>
      </c>
      <c r="N24" s="10">
        <v>2</v>
      </c>
      <c r="O24" s="10">
        <f t="shared" ref="O24:O36" si="3">N24*2.2</f>
        <v>4.4000000000000004</v>
      </c>
      <c r="P24" s="10"/>
      <c r="Q24" s="10">
        <f t="shared" si="2"/>
        <v>19.5</v>
      </c>
      <c r="R24" s="10" t="s">
        <v>165</v>
      </c>
    </row>
    <row r="25" spans="1:19" ht="45" x14ac:dyDescent="0.2">
      <c r="A25" s="9">
        <v>24</v>
      </c>
      <c r="B25" s="10" t="s">
        <v>157</v>
      </c>
      <c r="C25" s="9" t="s">
        <v>61</v>
      </c>
      <c r="D25" s="9">
        <v>2</v>
      </c>
      <c r="E25" s="9">
        <v>21</v>
      </c>
      <c r="F25" s="9" t="s">
        <v>33</v>
      </c>
      <c r="G25" s="20" t="s">
        <v>192</v>
      </c>
      <c r="H25" s="9"/>
      <c r="I25" s="9"/>
      <c r="J25" s="9"/>
      <c r="K25" s="9"/>
      <c r="L25" s="10">
        <f t="shared" si="0"/>
        <v>13.850000000000001</v>
      </c>
      <c r="M25" s="10">
        <f t="shared" si="1"/>
        <v>-1</v>
      </c>
      <c r="N25" s="10">
        <v>2</v>
      </c>
      <c r="O25" s="10">
        <f t="shared" si="3"/>
        <v>4.4000000000000004</v>
      </c>
      <c r="P25" s="10"/>
      <c r="Q25" s="10">
        <f t="shared" si="2"/>
        <v>17.25</v>
      </c>
      <c r="R25" s="10" t="s">
        <v>165</v>
      </c>
    </row>
    <row r="26" spans="1:19" ht="34.5" x14ac:dyDescent="0.2">
      <c r="A26" s="9">
        <v>25</v>
      </c>
      <c r="B26" s="10" t="s">
        <v>157</v>
      </c>
      <c r="C26" s="9" t="s">
        <v>63</v>
      </c>
      <c r="D26" s="9">
        <v>2</v>
      </c>
      <c r="E26" s="9">
        <v>24</v>
      </c>
      <c r="F26" s="9" t="s">
        <v>33</v>
      </c>
      <c r="G26" s="21" t="s">
        <v>202</v>
      </c>
      <c r="H26" s="9"/>
      <c r="I26" s="28" t="s">
        <v>16</v>
      </c>
      <c r="J26" s="9"/>
      <c r="K26" s="9"/>
      <c r="L26" s="10">
        <f t="shared" si="0"/>
        <v>15.200000000000001</v>
      </c>
      <c r="M26" s="10">
        <f t="shared" si="1"/>
        <v>-1</v>
      </c>
      <c r="N26" s="10">
        <v>2</v>
      </c>
      <c r="O26" s="10">
        <f t="shared" si="3"/>
        <v>4.4000000000000004</v>
      </c>
      <c r="P26" s="10"/>
      <c r="Q26" s="10">
        <f t="shared" si="2"/>
        <v>18.600000000000001</v>
      </c>
      <c r="R26" s="10" t="s">
        <v>165</v>
      </c>
    </row>
    <row r="27" spans="1:19" ht="34.5" x14ac:dyDescent="0.2">
      <c r="A27" s="9">
        <v>26</v>
      </c>
      <c r="B27" s="10" t="s">
        <v>157</v>
      </c>
      <c r="C27" s="9" t="s">
        <v>64</v>
      </c>
      <c r="D27" s="9">
        <v>2</v>
      </c>
      <c r="E27" s="9">
        <v>26</v>
      </c>
      <c r="F27" s="9" t="s">
        <v>127</v>
      </c>
      <c r="G27" s="20" t="s">
        <v>65</v>
      </c>
      <c r="H27" s="9"/>
      <c r="I27" s="9"/>
      <c r="J27" s="9"/>
      <c r="K27" s="9"/>
      <c r="L27" s="10">
        <f t="shared" si="0"/>
        <v>16.100000000000001</v>
      </c>
      <c r="M27" s="10">
        <f t="shared" si="1"/>
        <v>0.5</v>
      </c>
      <c r="N27" s="10">
        <v>1</v>
      </c>
      <c r="O27" s="10">
        <f t="shared" si="3"/>
        <v>2.2000000000000002</v>
      </c>
      <c r="P27" s="10"/>
      <c r="Q27" s="10">
        <f t="shared" si="2"/>
        <v>18.8</v>
      </c>
      <c r="R27" s="10" t="s">
        <v>165</v>
      </c>
    </row>
    <row r="28" spans="1:19" ht="34.5" x14ac:dyDescent="0.2">
      <c r="A28" s="9">
        <v>27</v>
      </c>
      <c r="B28" s="10" t="s">
        <v>159</v>
      </c>
      <c r="C28" s="9" t="s">
        <v>66</v>
      </c>
      <c r="D28" s="9">
        <v>3</v>
      </c>
      <c r="E28" s="9">
        <v>20</v>
      </c>
      <c r="F28" s="9" t="s">
        <v>208</v>
      </c>
      <c r="G28" s="20" t="s">
        <v>67</v>
      </c>
      <c r="H28" s="9" t="s">
        <v>57</v>
      </c>
      <c r="I28" s="11"/>
      <c r="J28" s="9"/>
      <c r="L28" s="10">
        <f t="shared" si="0"/>
        <v>15.600000000000001</v>
      </c>
      <c r="M28" s="10">
        <f t="shared" si="1"/>
        <v>3</v>
      </c>
      <c r="N28" s="10">
        <v>1.5</v>
      </c>
      <c r="O28" s="10">
        <f t="shared" si="3"/>
        <v>3.3000000000000003</v>
      </c>
      <c r="P28" s="10"/>
      <c r="Q28" s="10">
        <f t="shared" si="2"/>
        <v>21.900000000000002</v>
      </c>
      <c r="R28" s="10" t="s">
        <v>156</v>
      </c>
      <c r="S28" s="27" t="s">
        <v>445</v>
      </c>
    </row>
    <row r="29" spans="1:19" ht="103.5" x14ac:dyDescent="0.2">
      <c r="A29" s="9">
        <v>28</v>
      </c>
      <c r="B29" s="10" t="s">
        <v>160</v>
      </c>
      <c r="C29" s="9" t="s">
        <v>69</v>
      </c>
      <c r="D29" s="9">
        <v>3</v>
      </c>
      <c r="E29" s="9">
        <v>18</v>
      </c>
      <c r="F29" s="9"/>
      <c r="G29" s="22" t="s">
        <v>212</v>
      </c>
      <c r="H29" s="11" t="s">
        <v>123</v>
      </c>
      <c r="I29" s="9"/>
      <c r="J29" s="9"/>
      <c r="K29" s="9"/>
      <c r="L29" s="10">
        <f t="shared" si="0"/>
        <v>14.7</v>
      </c>
      <c r="M29" s="10">
        <f t="shared" si="1"/>
        <v>0</v>
      </c>
      <c r="N29" s="10">
        <v>2</v>
      </c>
      <c r="O29" s="10">
        <f t="shared" si="3"/>
        <v>4.4000000000000004</v>
      </c>
      <c r="P29" s="10"/>
      <c r="Q29" s="10">
        <f t="shared" si="2"/>
        <v>19.100000000000001</v>
      </c>
      <c r="R29" s="10" t="s">
        <v>164</v>
      </c>
      <c r="S29" s="12" t="s">
        <v>446</v>
      </c>
    </row>
    <row r="30" spans="1:19" ht="34.5" x14ac:dyDescent="0.2">
      <c r="A30" s="9">
        <v>29</v>
      </c>
      <c r="B30" s="10" t="s">
        <v>157</v>
      </c>
      <c r="C30" s="9" t="s">
        <v>70</v>
      </c>
      <c r="D30" s="9">
        <v>3</v>
      </c>
      <c r="E30" s="9">
        <v>16</v>
      </c>
      <c r="F30" s="9" t="s">
        <v>126</v>
      </c>
      <c r="G30" s="20" t="s">
        <v>71</v>
      </c>
      <c r="H30" s="9"/>
      <c r="I30" s="9"/>
      <c r="J30" s="9"/>
      <c r="K30" s="9"/>
      <c r="L30" s="10">
        <f t="shared" si="0"/>
        <v>13.8</v>
      </c>
      <c r="M30" s="10">
        <f t="shared" si="1"/>
        <v>1.5</v>
      </c>
      <c r="N30" s="10">
        <v>1.5</v>
      </c>
      <c r="O30" s="10">
        <f t="shared" si="3"/>
        <v>3.3000000000000003</v>
      </c>
      <c r="P30" s="10"/>
      <c r="Q30" s="10">
        <f t="shared" si="2"/>
        <v>18.600000000000001</v>
      </c>
      <c r="R30" s="10" t="s">
        <v>164</v>
      </c>
    </row>
    <row r="31" spans="1:19" ht="69" x14ac:dyDescent="0.2">
      <c r="A31" s="9">
        <v>30</v>
      </c>
      <c r="B31" s="10" t="s">
        <v>159</v>
      </c>
      <c r="C31" s="9" t="s">
        <v>68</v>
      </c>
      <c r="D31" s="9">
        <v>3</v>
      </c>
      <c r="E31" s="9">
        <v>20</v>
      </c>
      <c r="F31" s="9"/>
      <c r="G31" s="20" t="s">
        <v>72</v>
      </c>
      <c r="H31" s="12" t="s">
        <v>124</v>
      </c>
      <c r="I31" s="9"/>
      <c r="J31" s="9"/>
      <c r="L31" s="10">
        <f t="shared" si="0"/>
        <v>15.600000000000001</v>
      </c>
      <c r="M31" s="10">
        <f t="shared" si="1"/>
        <v>0</v>
      </c>
      <c r="N31" s="10">
        <v>2</v>
      </c>
      <c r="O31" s="10">
        <f t="shared" si="3"/>
        <v>4.4000000000000004</v>
      </c>
      <c r="P31" s="10"/>
      <c r="Q31" s="10">
        <f t="shared" si="2"/>
        <v>20</v>
      </c>
      <c r="R31" s="10" t="s">
        <v>164</v>
      </c>
      <c r="S31" s="27" t="s">
        <v>226</v>
      </c>
    </row>
    <row r="32" spans="1:19" ht="17.25" x14ac:dyDescent="0.2">
      <c r="A32" s="9">
        <v>31</v>
      </c>
      <c r="B32" s="10" t="s">
        <v>159</v>
      </c>
      <c r="C32" s="9" t="s">
        <v>73</v>
      </c>
      <c r="D32" s="9">
        <v>3</v>
      </c>
      <c r="E32" s="9">
        <v>18</v>
      </c>
      <c r="F32" s="9" t="s">
        <v>74</v>
      </c>
      <c r="G32" s="21" t="s">
        <v>178</v>
      </c>
      <c r="H32" s="9"/>
      <c r="I32" s="9"/>
      <c r="J32" s="9"/>
      <c r="K32" s="9"/>
      <c r="L32" s="10">
        <f t="shared" si="0"/>
        <v>14.7</v>
      </c>
      <c r="M32" s="10">
        <f t="shared" si="1"/>
        <v>1</v>
      </c>
      <c r="N32" s="10">
        <v>1</v>
      </c>
      <c r="O32" s="10">
        <f t="shared" si="3"/>
        <v>2.2000000000000002</v>
      </c>
      <c r="P32" s="10"/>
      <c r="Q32" s="10">
        <f t="shared" si="2"/>
        <v>17.899999999999999</v>
      </c>
      <c r="R32" s="10" t="s">
        <v>164</v>
      </c>
    </row>
    <row r="33" spans="1:19" ht="30" x14ac:dyDescent="0.2">
      <c r="A33" s="9">
        <v>32</v>
      </c>
      <c r="B33" s="10" t="s">
        <v>161</v>
      </c>
      <c r="C33" s="9" t="s">
        <v>75</v>
      </c>
      <c r="D33" s="9">
        <v>2</v>
      </c>
      <c r="E33" s="9">
        <v>24</v>
      </c>
      <c r="F33" s="9"/>
      <c r="G33" s="20" t="s">
        <v>76</v>
      </c>
      <c r="H33" s="9" t="s">
        <v>28</v>
      </c>
      <c r="I33" s="9"/>
      <c r="J33" s="9"/>
      <c r="L33" s="10">
        <f t="shared" si="0"/>
        <v>15.200000000000001</v>
      </c>
      <c r="M33" s="10">
        <f t="shared" si="1"/>
        <v>0</v>
      </c>
      <c r="N33" s="10">
        <v>1.5</v>
      </c>
      <c r="O33" s="10">
        <f t="shared" si="3"/>
        <v>3.3000000000000003</v>
      </c>
      <c r="P33" s="10"/>
      <c r="Q33" s="10">
        <f t="shared" si="2"/>
        <v>18.5</v>
      </c>
      <c r="R33" s="10" t="s">
        <v>164</v>
      </c>
    </row>
    <row r="34" spans="1:19" ht="34.5" x14ac:dyDescent="0.2">
      <c r="A34" s="9">
        <v>33</v>
      </c>
      <c r="B34" s="10" t="s">
        <v>159</v>
      </c>
      <c r="C34" s="9" t="s">
        <v>37</v>
      </c>
      <c r="D34" s="9">
        <v>1</v>
      </c>
      <c r="E34" s="9">
        <v>18</v>
      </c>
      <c r="F34" s="9" t="s">
        <v>20</v>
      </c>
      <c r="G34" s="21" t="s">
        <v>203</v>
      </c>
      <c r="H34" s="9" t="s">
        <v>77</v>
      </c>
      <c r="I34" s="9"/>
      <c r="J34" s="9"/>
      <c r="L34" s="10">
        <f t="shared" ref="L34:L51" si="4">D34*2.2+E34*0.45</f>
        <v>10.3</v>
      </c>
      <c r="M34" s="10">
        <f t="shared" ref="M34:M51" si="5">SUM(IF(ISNUMBER(SEARCH("疾行",F34)),1.5,0), IF(ISNUMBER(SEARCH("渗透",F34)),1.5,0), IF(ISNUMBER(SEARCH("嘲讽",F34)),-1,0), IF(ISNUMBER(SEARCH("后勤",F34)),1,0))</f>
        <v>0</v>
      </c>
      <c r="N34" s="10">
        <v>2.5</v>
      </c>
      <c r="O34" s="10">
        <f t="shared" si="3"/>
        <v>5.5</v>
      </c>
      <c r="P34" s="10"/>
      <c r="Q34" s="10">
        <f t="shared" ref="Q34:Q50" si="6">L34+M34+O34+P34</f>
        <v>15.8</v>
      </c>
      <c r="R34" s="10" t="s">
        <v>164</v>
      </c>
      <c r="S34" s="27" t="s">
        <v>227</v>
      </c>
    </row>
    <row r="35" spans="1:19" ht="71.25" x14ac:dyDescent="0.2">
      <c r="A35" s="9">
        <v>34</v>
      </c>
      <c r="B35" s="10" t="s">
        <v>159</v>
      </c>
      <c r="C35" s="9" t="s">
        <v>78</v>
      </c>
      <c r="D35" s="9">
        <v>3</v>
      </c>
      <c r="E35" s="9">
        <v>15</v>
      </c>
      <c r="F35" s="9" t="s">
        <v>128</v>
      </c>
      <c r="G35" s="20" t="s">
        <v>79</v>
      </c>
      <c r="H35" s="11" t="s">
        <v>125</v>
      </c>
      <c r="I35" s="28" t="s">
        <v>442</v>
      </c>
      <c r="J35" s="9"/>
      <c r="K35" s="9"/>
      <c r="L35" s="10">
        <f t="shared" si="4"/>
        <v>13.350000000000001</v>
      </c>
      <c r="M35" s="10">
        <f t="shared" si="5"/>
        <v>1.5</v>
      </c>
      <c r="N35" s="10">
        <v>3</v>
      </c>
      <c r="O35" s="10">
        <f t="shared" si="3"/>
        <v>6.6000000000000005</v>
      </c>
      <c r="P35" s="10"/>
      <c r="Q35" s="10">
        <f t="shared" si="6"/>
        <v>21.450000000000003</v>
      </c>
      <c r="R35" s="10" t="s">
        <v>156</v>
      </c>
      <c r="S35" s="9"/>
    </row>
    <row r="36" spans="1:19" ht="51.75" x14ac:dyDescent="0.2">
      <c r="A36" s="9">
        <v>35</v>
      </c>
      <c r="B36" s="10" t="s">
        <v>162</v>
      </c>
      <c r="C36" s="12" t="s">
        <v>163</v>
      </c>
      <c r="D36" s="9">
        <v>3</v>
      </c>
      <c r="E36" s="9">
        <v>20</v>
      </c>
      <c r="F36" s="9" t="s">
        <v>20</v>
      </c>
      <c r="G36" s="21" t="s">
        <v>175</v>
      </c>
      <c r="H36" s="12" t="s">
        <v>213</v>
      </c>
      <c r="I36" s="9"/>
      <c r="J36" s="9"/>
      <c r="K36" s="9"/>
      <c r="L36" s="10">
        <f t="shared" si="4"/>
        <v>15.600000000000001</v>
      </c>
      <c r="M36" s="10">
        <f t="shared" si="5"/>
        <v>0</v>
      </c>
      <c r="N36" s="10">
        <v>2</v>
      </c>
      <c r="O36" s="10">
        <f t="shared" si="3"/>
        <v>4.4000000000000004</v>
      </c>
      <c r="P36" s="10"/>
      <c r="Q36" s="10">
        <f t="shared" si="6"/>
        <v>20</v>
      </c>
      <c r="R36" s="10" t="s">
        <v>164</v>
      </c>
      <c r="S36" s="9" t="s">
        <v>217</v>
      </c>
    </row>
    <row r="37" spans="1:19" ht="34.5" x14ac:dyDescent="0.2">
      <c r="A37" s="9">
        <v>36</v>
      </c>
      <c r="B37" s="10" t="s">
        <v>162</v>
      </c>
      <c r="C37" s="9" t="s">
        <v>80</v>
      </c>
      <c r="D37" s="9">
        <v>2</v>
      </c>
      <c r="E37" s="9">
        <v>20</v>
      </c>
      <c r="F37" s="9" t="s">
        <v>129</v>
      </c>
      <c r="G37" s="20" t="s">
        <v>81</v>
      </c>
      <c r="H37" s="9"/>
      <c r="I37" s="9"/>
      <c r="J37" s="9"/>
      <c r="K37" s="9"/>
      <c r="L37" s="10">
        <f t="shared" si="4"/>
        <v>13.4</v>
      </c>
      <c r="M37" s="10">
        <f t="shared" si="5"/>
        <v>-1</v>
      </c>
      <c r="N37" s="10">
        <v>8</v>
      </c>
      <c r="O37" s="10">
        <f>N37*0.45</f>
        <v>3.6</v>
      </c>
      <c r="P37" s="10"/>
      <c r="Q37" s="10">
        <f t="shared" si="6"/>
        <v>16</v>
      </c>
      <c r="R37" s="10" t="s">
        <v>165</v>
      </c>
    </row>
    <row r="38" spans="1:19" ht="51.75" x14ac:dyDescent="0.2">
      <c r="A38" s="9">
        <v>37</v>
      </c>
      <c r="B38" s="10" t="s">
        <v>161</v>
      </c>
      <c r="C38" s="9" t="s">
        <v>82</v>
      </c>
      <c r="D38" s="9">
        <v>2</v>
      </c>
      <c r="E38" s="9">
        <v>20</v>
      </c>
      <c r="F38" s="9"/>
      <c r="G38" s="21" t="s">
        <v>204</v>
      </c>
      <c r="H38" s="26" t="s">
        <v>210</v>
      </c>
      <c r="I38" s="9"/>
      <c r="J38" s="9"/>
      <c r="K38" s="9"/>
      <c r="L38" s="10">
        <f t="shared" si="4"/>
        <v>13.4</v>
      </c>
      <c r="M38" s="10">
        <f t="shared" si="5"/>
        <v>0</v>
      </c>
      <c r="N38" s="10">
        <v>2</v>
      </c>
      <c r="O38" s="10">
        <f t="shared" ref="O38:O43" si="7">N38*2.2</f>
        <v>4.4000000000000004</v>
      </c>
      <c r="P38" s="10"/>
      <c r="Q38" s="10">
        <f t="shared" si="6"/>
        <v>17.8</v>
      </c>
      <c r="R38" s="10" t="s">
        <v>164</v>
      </c>
      <c r="S38" s="9" t="s">
        <v>218</v>
      </c>
    </row>
    <row r="39" spans="1:19" ht="30" x14ac:dyDescent="0.2">
      <c r="A39" s="9">
        <v>38</v>
      </c>
      <c r="B39" s="10" t="s">
        <v>162</v>
      </c>
      <c r="C39" s="9" t="s">
        <v>83</v>
      </c>
      <c r="D39" s="9">
        <v>0</v>
      </c>
      <c r="E39" s="9">
        <v>27</v>
      </c>
      <c r="F39" s="9" t="s">
        <v>74</v>
      </c>
      <c r="G39" s="20" t="s">
        <v>84</v>
      </c>
      <c r="H39" s="9"/>
      <c r="I39" s="9"/>
      <c r="J39" s="9"/>
      <c r="K39" s="9"/>
      <c r="L39" s="10">
        <f t="shared" si="4"/>
        <v>12.15</v>
      </c>
      <c r="M39" s="10">
        <f t="shared" si="5"/>
        <v>1</v>
      </c>
      <c r="N39" s="10">
        <v>2</v>
      </c>
      <c r="O39" s="10">
        <f t="shared" si="7"/>
        <v>4.4000000000000004</v>
      </c>
      <c r="P39" s="10"/>
      <c r="Q39" s="10">
        <f t="shared" si="6"/>
        <v>17.55</v>
      </c>
      <c r="R39" s="10" t="s">
        <v>164</v>
      </c>
    </row>
    <row r="40" spans="1:19" ht="30" x14ac:dyDescent="0.2">
      <c r="A40" s="9">
        <v>39</v>
      </c>
      <c r="B40" s="10" t="s">
        <v>161</v>
      </c>
      <c r="C40" s="9" t="s">
        <v>85</v>
      </c>
      <c r="D40" s="9">
        <v>3</v>
      </c>
      <c r="E40" s="9">
        <v>17</v>
      </c>
      <c r="F40" s="9" t="s">
        <v>45</v>
      </c>
      <c r="G40" s="20" t="s">
        <v>86</v>
      </c>
      <c r="H40" s="9"/>
      <c r="I40" s="9"/>
      <c r="J40" s="9"/>
      <c r="K40" s="9"/>
      <c r="L40" s="10">
        <f t="shared" si="4"/>
        <v>14.25</v>
      </c>
      <c r="M40" s="10">
        <f t="shared" si="5"/>
        <v>0</v>
      </c>
      <c r="N40" s="10">
        <v>2</v>
      </c>
      <c r="O40" s="10">
        <f t="shared" si="7"/>
        <v>4.4000000000000004</v>
      </c>
      <c r="P40" s="10"/>
      <c r="Q40" s="10">
        <f t="shared" si="6"/>
        <v>18.649999999999999</v>
      </c>
      <c r="R40" s="10" t="s">
        <v>156</v>
      </c>
    </row>
    <row r="41" spans="1:19" ht="34.5" x14ac:dyDescent="0.2">
      <c r="A41" s="9">
        <v>40</v>
      </c>
      <c r="B41" s="10" t="s">
        <v>157</v>
      </c>
      <c r="C41" s="9" t="s">
        <v>87</v>
      </c>
      <c r="D41" s="9">
        <v>5</v>
      </c>
      <c r="E41" s="9">
        <v>13</v>
      </c>
      <c r="F41" s="9"/>
      <c r="G41" s="21" t="s">
        <v>174</v>
      </c>
      <c r="H41" s="11"/>
      <c r="I41" s="9"/>
      <c r="J41" s="9"/>
      <c r="K41" s="9"/>
      <c r="L41" s="10">
        <f t="shared" si="4"/>
        <v>16.850000000000001</v>
      </c>
      <c r="M41" s="10">
        <f t="shared" si="5"/>
        <v>0</v>
      </c>
      <c r="N41" s="10">
        <v>2</v>
      </c>
      <c r="O41" s="10">
        <f t="shared" si="7"/>
        <v>4.4000000000000004</v>
      </c>
      <c r="P41" s="10"/>
      <c r="Q41" s="10">
        <f t="shared" si="6"/>
        <v>21.25</v>
      </c>
      <c r="R41" s="10" t="s">
        <v>164</v>
      </c>
    </row>
    <row r="42" spans="1:19" ht="51.75" x14ac:dyDescent="0.2">
      <c r="A42" s="9">
        <v>41</v>
      </c>
      <c r="B42" s="10" t="s">
        <v>159</v>
      </c>
      <c r="C42" s="9" t="s">
        <v>88</v>
      </c>
      <c r="D42" s="9">
        <v>2</v>
      </c>
      <c r="E42" s="9">
        <v>24</v>
      </c>
      <c r="F42" s="9"/>
      <c r="G42" s="21" t="s">
        <v>179</v>
      </c>
      <c r="H42" s="9" t="s">
        <v>57</v>
      </c>
      <c r="I42" s="9"/>
      <c r="J42" s="9"/>
      <c r="L42" s="10">
        <f t="shared" si="4"/>
        <v>15.200000000000001</v>
      </c>
      <c r="M42" s="10">
        <f t="shared" si="5"/>
        <v>0</v>
      </c>
      <c r="N42" s="10">
        <v>1</v>
      </c>
      <c r="O42" s="10">
        <f t="shared" si="7"/>
        <v>2.2000000000000002</v>
      </c>
      <c r="P42" s="10"/>
      <c r="Q42" s="10">
        <f t="shared" si="6"/>
        <v>17.400000000000002</v>
      </c>
      <c r="R42" s="10" t="s">
        <v>156</v>
      </c>
      <c r="S42" s="27" t="s">
        <v>222</v>
      </c>
    </row>
    <row r="43" spans="1:19" ht="51.75" x14ac:dyDescent="0.2">
      <c r="A43" s="9">
        <v>42</v>
      </c>
      <c r="B43" s="10" t="s">
        <v>157</v>
      </c>
      <c r="C43" s="9" t="s">
        <v>89</v>
      </c>
      <c r="D43" s="9">
        <v>2</v>
      </c>
      <c r="E43" s="9">
        <v>18</v>
      </c>
      <c r="F43" s="9" t="s">
        <v>14</v>
      </c>
      <c r="G43" s="21" t="s">
        <v>173</v>
      </c>
      <c r="H43" s="9"/>
      <c r="I43" s="9"/>
      <c r="J43" s="9"/>
      <c r="K43" s="9"/>
      <c r="L43" s="10">
        <f t="shared" si="4"/>
        <v>12.5</v>
      </c>
      <c r="M43" s="10">
        <f t="shared" si="5"/>
        <v>1.5</v>
      </c>
      <c r="N43" s="10">
        <v>3</v>
      </c>
      <c r="O43" s="10">
        <f t="shared" si="7"/>
        <v>6.6000000000000005</v>
      </c>
      <c r="P43" s="10"/>
      <c r="Q43" s="10">
        <f t="shared" si="6"/>
        <v>20.6</v>
      </c>
      <c r="R43" s="10" t="s">
        <v>164</v>
      </c>
    </row>
    <row r="44" spans="1:19" ht="30" x14ac:dyDescent="0.2">
      <c r="A44" s="9">
        <v>43</v>
      </c>
      <c r="B44" s="10" t="s">
        <v>160</v>
      </c>
      <c r="C44" s="9" t="s">
        <v>62</v>
      </c>
      <c r="D44" s="9">
        <v>1</v>
      </c>
      <c r="E44" s="9">
        <v>14</v>
      </c>
      <c r="F44" s="9" t="s">
        <v>20</v>
      </c>
      <c r="G44" s="20" t="s">
        <v>90</v>
      </c>
      <c r="H44" s="9"/>
      <c r="I44" s="9"/>
      <c r="J44" s="9"/>
      <c r="K44" s="9"/>
      <c r="L44" s="10">
        <f t="shared" si="4"/>
        <v>8.5</v>
      </c>
      <c r="M44" s="10">
        <f t="shared" si="5"/>
        <v>0</v>
      </c>
      <c r="N44" s="10">
        <v>6</v>
      </c>
      <c r="O44" s="10">
        <f>N44*0.45</f>
        <v>2.7</v>
      </c>
      <c r="P44" s="10">
        <v>4</v>
      </c>
      <c r="Q44" s="10">
        <f t="shared" si="6"/>
        <v>15.2</v>
      </c>
      <c r="R44" s="10" t="s">
        <v>156</v>
      </c>
    </row>
    <row r="45" spans="1:19" ht="45" x14ac:dyDescent="0.2">
      <c r="A45" s="9">
        <v>44</v>
      </c>
      <c r="B45" s="10" t="s">
        <v>159</v>
      </c>
      <c r="C45" s="9" t="s">
        <v>91</v>
      </c>
      <c r="D45" s="9">
        <v>2</v>
      </c>
      <c r="E45" s="9">
        <v>26</v>
      </c>
      <c r="F45" s="9" t="s">
        <v>33</v>
      </c>
      <c r="G45" s="20" t="s">
        <v>92</v>
      </c>
      <c r="H45" s="9"/>
      <c r="I45" s="28" t="s">
        <v>228</v>
      </c>
      <c r="J45" s="9"/>
      <c r="K45" s="9"/>
      <c r="L45" s="10">
        <f t="shared" si="4"/>
        <v>16.100000000000001</v>
      </c>
      <c r="M45" s="10">
        <f t="shared" si="5"/>
        <v>-1</v>
      </c>
      <c r="N45" s="10">
        <v>2</v>
      </c>
      <c r="O45" s="10">
        <f>N45*2.2</f>
        <v>4.4000000000000004</v>
      </c>
      <c r="P45" s="10"/>
      <c r="Q45" s="10">
        <f t="shared" si="6"/>
        <v>19.5</v>
      </c>
      <c r="R45" s="10" t="s">
        <v>165</v>
      </c>
    </row>
    <row r="46" spans="1:19" ht="60" x14ac:dyDescent="0.2">
      <c r="A46" s="9">
        <v>45</v>
      </c>
      <c r="B46" s="10" t="s">
        <v>157</v>
      </c>
      <c r="C46" s="9" t="s">
        <v>93</v>
      </c>
      <c r="D46" s="9">
        <v>3</v>
      </c>
      <c r="E46" s="9">
        <v>16</v>
      </c>
      <c r="F46" s="9" t="s">
        <v>20</v>
      </c>
      <c r="G46" s="20" t="s">
        <v>94</v>
      </c>
      <c r="H46" s="9"/>
      <c r="I46" s="9"/>
      <c r="J46" s="11"/>
      <c r="K46" s="9"/>
      <c r="L46" s="10">
        <f t="shared" si="4"/>
        <v>13.8</v>
      </c>
      <c r="M46" s="10">
        <f t="shared" si="5"/>
        <v>0</v>
      </c>
      <c r="N46" s="10">
        <v>2</v>
      </c>
      <c r="O46" s="10">
        <f>N46*2.2</f>
        <v>4.4000000000000004</v>
      </c>
      <c r="P46" s="10"/>
      <c r="Q46" s="10">
        <f t="shared" si="6"/>
        <v>18.200000000000003</v>
      </c>
      <c r="R46" s="10" t="s">
        <v>155</v>
      </c>
    </row>
    <row r="47" spans="1:19" ht="42.75" x14ac:dyDescent="0.2">
      <c r="A47" s="9">
        <v>46</v>
      </c>
      <c r="B47" s="10" t="s">
        <v>159</v>
      </c>
      <c r="C47" s="9" t="s">
        <v>95</v>
      </c>
      <c r="D47" s="9">
        <v>2</v>
      </c>
      <c r="E47" s="9">
        <v>19</v>
      </c>
      <c r="F47" s="9" t="s">
        <v>96</v>
      </c>
      <c r="G47" s="21" t="s">
        <v>214</v>
      </c>
      <c r="H47" s="9"/>
      <c r="I47" s="28" t="s">
        <v>447</v>
      </c>
      <c r="J47" s="9"/>
      <c r="K47" s="9"/>
      <c r="L47" s="10">
        <f t="shared" si="4"/>
        <v>12.950000000000001</v>
      </c>
      <c r="M47" s="10">
        <f t="shared" si="5"/>
        <v>1.5</v>
      </c>
      <c r="N47" s="10">
        <v>2</v>
      </c>
      <c r="O47" s="10">
        <f>N47*2.2</f>
        <v>4.4000000000000004</v>
      </c>
      <c r="P47" s="10"/>
      <c r="Q47" s="10">
        <f t="shared" si="6"/>
        <v>18.850000000000001</v>
      </c>
      <c r="R47" s="10" t="s">
        <v>164</v>
      </c>
    </row>
    <row r="48" spans="1:19" ht="34.5" x14ac:dyDescent="0.2">
      <c r="A48" s="9">
        <v>47</v>
      </c>
      <c r="B48" s="10" t="s">
        <v>160</v>
      </c>
      <c r="C48" s="9" t="s">
        <v>97</v>
      </c>
      <c r="D48" s="9">
        <v>0</v>
      </c>
      <c r="E48" s="9">
        <v>18</v>
      </c>
      <c r="F48" s="9" t="s">
        <v>14</v>
      </c>
      <c r="G48" s="20" t="s">
        <v>98</v>
      </c>
      <c r="H48" s="11" t="s">
        <v>152</v>
      </c>
      <c r="I48" s="9"/>
      <c r="J48" s="9"/>
      <c r="K48" s="9"/>
      <c r="L48" s="10">
        <f t="shared" si="4"/>
        <v>8.1</v>
      </c>
      <c r="M48" s="10">
        <f t="shared" si="5"/>
        <v>1.5</v>
      </c>
      <c r="N48" s="10">
        <v>4</v>
      </c>
      <c r="O48" s="10">
        <f>N48*2.2</f>
        <v>8.8000000000000007</v>
      </c>
      <c r="P48" s="10"/>
      <c r="Q48" s="10">
        <f t="shared" si="6"/>
        <v>18.399999999999999</v>
      </c>
      <c r="R48" s="10" t="s">
        <v>164</v>
      </c>
      <c r="S48" s="12" t="s">
        <v>231</v>
      </c>
    </row>
    <row r="49" spans="1:18" ht="28.5" x14ac:dyDescent="0.2">
      <c r="A49" s="9">
        <v>48</v>
      </c>
      <c r="B49" s="10" t="s">
        <v>162</v>
      </c>
      <c r="C49" s="11" t="s">
        <v>188</v>
      </c>
      <c r="D49" s="9">
        <v>1</v>
      </c>
      <c r="E49" s="9">
        <v>36</v>
      </c>
      <c r="F49" s="9" t="s">
        <v>33</v>
      </c>
      <c r="G49" s="23" t="s">
        <v>206</v>
      </c>
      <c r="H49" s="11"/>
      <c r="I49" s="9"/>
      <c r="J49" s="9"/>
      <c r="K49" s="9"/>
      <c r="L49" s="10">
        <f t="shared" si="4"/>
        <v>18.399999999999999</v>
      </c>
      <c r="M49" s="10">
        <f t="shared" si="5"/>
        <v>-1</v>
      </c>
      <c r="N49" s="10">
        <v>3</v>
      </c>
      <c r="O49" s="10">
        <f>N49*0.45</f>
        <v>1.35</v>
      </c>
      <c r="P49" s="10"/>
      <c r="Q49" s="10">
        <f t="shared" si="6"/>
        <v>18.75</v>
      </c>
      <c r="R49" s="10" t="s">
        <v>165</v>
      </c>
    </row>
    <row r="50" spans="1:18" ht="99.75" x14ac:dyDescent="0.2">
      <c r="A50" s="4">
        <v>49</v>
      </c>
      <c r="B50" s="4" t="s">
        <v>160</v>
      </c>
      <c r="C50" s="4" t="s">
        <v>191</v>
      </c>
      <c r="D50" s="4">
        <v>2</v>
      </c>
      <c r="E50" s="4">
        <v>22</v>
      </c>
      <c r="F50" s="9" t="s">
        <v>33</v>
      </c>
      <c r="G50" s="21" t="s">
        <v>201</v>
      </c>
      <c r="H50" s="4"/>
      <c r="I50" s="28" t="s">
        <v>229</v>
      </c>
      <c r="J50" s="4"/>
      <c r="K50" s="4"/>
      <c r="L50" s="10">
        <f t="shared" si="4"/>
        <v>14.3</v>
      </c>
      <c r="M50" s="10">
        <f t="shared" si="5"/>
        <v>-1</v>
      </c>
      <c r="N50" s="10"/>
      <c r="O50" s="10">
        <f>N50*0.45</f>
        <v>0</v>
      </c>
      <c r="P50" s="10">
        <v>4</v>
      </c>
      <c r="Q50" s="10">
        <f t="shared" si="6"/>
        <v>17.3</v>
      </c>
      <c r="R50" s="10" t="s">
        <v>165</v>
      </c>
    </row>
    <row r="51" spans="1:18" ht="15" x14ac:dyDescent="0.2">
      <c r="A51" s="9" t="s">
        <v>99</v>
      </c>
      <c r="B51" s="9" t="s">
        <v>100</v>
      </c>
      <c r="C51" s="9" t="s">
        <v>101</v>
      </c>
      <c r="D51" s="9">
        <v>1</v>
      </c>
      <c r="E51" s="9">
        <v>1</v>
      </c>
      <c r="F51" s="9"/>
      <c r="G51" s="20" t="s">
        <v>102</v>
      </c>
      <c r="H51" s="9"/>
      <c r="I51" s="9"/>
      <c r="J51" s="9"/>
      <c r="K51" s="9"/>
      <c r="L51" s="10">
        <f t="shared" si="4"/>
        <v>2.6500000000000004</v>
      </c>
      <c r="M51" s="10">
        <f t="shared" si="5"/>
        <v>0</v>
      </c>
      <c r="N51" s="10"/>
      <c r="O51" s="10"/>
      <c r="P51" s="10"/>
      <c r="Q51" s="10"/>
      <c r="R51" s="10"/>
    </row>
    <row r="52" spans="1:18" ht="15" x14ac:dyDescent="0.2">
      <c r="A52" s="9"/>
      <c r="B52" s="10"/>
      <c r="C52" s="9"/>
      <c r="D52" s="9"/>
      <c r="E52" s="9"/>
      <c r="F52" s="9"/>
      <c r="G52" s="20"/>
      <c r="H52" s="11"/>
      <c r="I52" s="9"/>
      <c r="J52" s="9"/>
      <c r="K52" s="9"/>
      <c r="L52" s="10"/>
      <c r="M52" s="10"/>
      <c r="N52" s="10"/>
      <c r="O52" s="10"/>
      <c r="P52" s="10"/>
      <c r="Q52" s="10"/>
      <c r="R52" s="10"/>
    </row>
  </sheetData>
  <autoFilter ref="A1:R53" xr:uid="{00000000-0001-0000-0000-000000000000}">
    <sortState xmlns:xlrd2="http://schemas.microsoft.com/office/spreadsheetml/2017/richdata2" ref="A2:R53">
      <sortCondition ref="A1:A53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2D7C-DF0B-49B4-9FE7-BB09A920D14C}">
  <dimension ref="A1:T43"/>
  <sheetViews>
    <sheetView topLeftCell="A7" zoomScale="115" zoomScaleNormal="115" workbookViewId="0">
      <selection activeCell="H11" sqref="H11"/>
    </sheetView>
  </sheetViews>
  <sheetFormatPr defaultRowHeight="14.25" x14ac:dyDescent="0.2"/>
  <cols>
    <col min="7" max="7" width="39.5" style="28" customWidth="1"/>
    <col min="8" max="8" width="20.5" style="28" customWidth="1"/>
    <col min="9" max="9" width="9" style="28"/>
    <col min="10" max="10" width="27.625" style="28" bestFit="1" customWidth="1"/>
    <col min="14" max="14" width="10.25" bestFit="1" customWidth="1"/>
    <col min="16" max="16" width="0" hidden="1" customWidth="1"/>
    <col min="19" max="19" width="13.875" style="28" customWidth="1"/>
  </cols>
  <sheetData>
    <row r="1" spans="1:20" s="15" customFormat="1" ht="15.75" x14ac:dyDescent="0.2">
      <c r="A1" s="13" t="s">
        <v>0</v>
      </c>
      <c r="B1" s="14" t="s">
        <v>158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117</v>
      </c>
      <c r="M1" s="13" t="s">
        <v>118</v>
      </c>
      <c r="N1" s="14" t="s">
        <v>121</v>
      </c>
      <c r="O1" s="13" t="s">
        <v>119</v>
      </c>
      <c r="P1" s="14" t="s">
        <v>122</v>
      </c>
      <c r="Q1" s="13" t="s">
        <v>120</v>
      </c>
      <c r="R1" s="14" t="s">
        <v>154</v>
      </c>
      <c r="S1" s="27" t="s">
        <v>216</v>
      </c>
      <c r="T1" s="15" t="s">
        <v>441</v>
      </c>
    </row>
    <row r="2" spans="1:20" ht="28.5" x14ac:dyDescent="0.2">
      <c r="A2">
        <v>50</v>
      </c>
      <c r="B2" t="s">
        <v>279</v>
      </c>
      <c r="C2" t="s">
        <v>335</v>
      </c>
      <c r="D2">
        <v>3</v>
      </c>
      <c r="E2">
        <v>20</v>
      </c>
      <c r="F2" t="s">
        <v>20</v>
      </c>
      <c r="G2" s="28" t="s">
        <v>336</v>
      </c>
      <c r="H2" s="28" t="s">
        <v>301</v>
      </c>
      <c r="J2" s="28" t="s">
        <v>325</v>
      </c>
      <c r="L2">
        <v>15.6</v>
      </c>
      <c r="M2">
        <v>0</v>
      </c>
      <c r="N2">
        <v>1</v>
      </c>
      <c r="O2">
        <v>2.2000000000000002</v>
      </c>
      <c r="Q2">
        <v>17.8</v>
      </c>
      <c r="R2" t="s">
        <v>238</v>
      </c>
      <c r="S2" s="28" t="s">
        <v>303</v>
      </c>
      <c r="T2" t="s">
        <v>337</v>
      </c>
    </row>
    <row r="3" spans="1:20" ht="28.5" x14ac:dyDescent="0.2">
      <c r="A3">
        <v>51</v>
      </c>
      <c r="B3" t="s">
        <v>244</v>
      </c>
      <c r="C3" t="s">
        <v>338</v>
      </c>
      <c r="D3">
        <v>2</v>
      </c>
      <c r="E3">
        <v>24</v>
      </c>
      <c r="G3" s="28" t="s">
        <v>339</v>
      </c>
      <c r="H3" s="28" t="s">
        <v>26</v>
      </c>
      <c r="J3" s="28" t="s">
        <v>289</v>
      </c>
      <c r="L3">
        <v>15.2</v>
      </c>
      <c r="M3">
        <v>0</v>
      </c>
      <c r="N3">
        <v>2</v>
      </c>
      <c r="O3">
        <v>4.4000000000000004</v>
      </c>
      <c r="Q3">
        <v>19.600000000000001</v>
      </c>
      <c r="R3" t="s">
        <v>238</v>
      </c>
      <c r="S3" s="28" t="s">
        <v>237</v>
      </c>
      <c r="T3" t="s">
        <v>340</v>
      </c>
    </row>
    <row r="4" spans="1:20" ht="42.75" x14ac:dyDescent="0.2">
      <c r="A4">
        <v>52</v>
      </c>
      <c r="B4" t="s">
        <v>232</v>
      </c>
      <c r="C4" t="s">
        <v>341</v>
      </c>
      <c r="D4">
        <v>2</v>
      </c>
      <c r="E4">
        <v>24</v>
      </c>
      <c r="F4" t="s">
        <v>33</v>
      </c>
      <c r="G4" s="28" t="s">
        <v>342</v>
      </c>
      <c r="H4" s="28" t="s">
        <v>240</v>
      </c>
      <c r="I4" s="28" t="s">
        <v>241</v>
      </c>
      <c r="J4" s="28" t="s">
        <v>242</v>
      </c>
      <c r="L4">
        <v>15.2</v>
      </c>
      <c r="M4">
        <v>-1</v>
      </c>
      <c r="N4">
        <v>2</v>
      </c>
      <c r="O4">
        <v>4.4000000000000004</v>
      </c>
      <c r="Q4">
        <v>18.600000000000001</v>
      </c>
      <c r="R4" t="s">
        <v>239</v>
      </c>
      <c r="S4" s="28" t="s">
        <v>243</v>
      </c>
      <c r="T4" t="s">
        <v>343</v>
      </c>
    </row>
    <row r="5" spans="1:20" ht="28.5" x14ac:dyDescent="0.2">
      <c r="A5">
        <v>53</v>
      </c>
      <c r="B5" t="s">
        <v>273</v>
      </c>
      <c r="C5" t="s">
        <v>344</v>
      </c>
      <c r="D5">
        <v>4</v>
      </c>
      <c r="E5">
        <v>16</v>
      </c>
      <c r="G5" s="28" t="s">
        <v>345</v>
      </c>
      <c r="H5" s="28" t="s">
        <v>240</v>
      </c>
      <c r="J5" s="28" t="s">
        <v>235</v>
      </c>
      <c r="L5">
        <v>16</v>
      </c>
      <c r="M5">
        <v>0</v>
      </c>
      <c r="N5">
        <v>1.5</v>
      </c>
      <c r="O5">
        <v>3.3</v>
      </c>
      <c r="Q5">
        <v>19.3</v>
      </c>
      <c r="R5" t="s">
        <v>238</v>
      </c>
      <c r="S5" s="28" t="s">
        <v>320</v>
      </c>
      <c r="T5" t="s">
        <v>346</v>
      </c>
    </row>
    <row r="6" spans="1:20" ht="28.5" x14ac:dyDescent="0.2">
      <c r="A6">
        <v>55</v>
      </c>
      <c r="B6" t="s">
        <v>279</v>
      </c>
      <c r="C6" t="s">
        <v>347</v>
      </c>
      <c r="D6">
        <v>3</v>
      </c>
      <c r="E6">
        <v>20</v>
      </c>
      <c r="G6" s="28" t="s">
        <v>348</v>
      </c>
      <c r="H6" s="28" t="s">
        <v>301</v>
      </c>
      <c r="J6" s="28" t="s">
        <v>293</v>
      </c>
      <c r="L6">
        <v>15.6</v>
      </c>
      <c r="M6">
        <v>0</v>
      </c>
      <c r="N6">
        <v>1</v>
      </c>
      <c r="O6">
        <v>2.2000000000000002</v>
      </c>
      <c r="Q6">
        <v>17.8</v>
      </c>
      <c r="R6" t="s">
        <v>238</v>
      </c>
      <c r="S6" s="28" t="s">
        <v>349</v>
      </c>
      <c r="T6" t="s">
        <v>350</v>
      </c>
    </row>
    <row r="7" spans="1:20" ht="28.5" x14ac:dyDescent="0.2">
      <c r="A7">
        <v>56</v>
      </c>
      <c r="B7" t="s">
        <v>273</v>
      </c>
      <c r="C7" t="s">
        <v>326</v>
      </c>
      <c r="D7">
        <v>3</v>
      </c>
      <c r="E7">
        <v>18</v>
      </c>
      <c r="G7" s="28" t="s">
        <v>327</v>
      </c>
      <c r="H7" s="28" t="s">
        <v>295</v>
      </c>
      <c r="J7" s="28" t="s">
        <v>245</v>
      </c>
      <c r="L7">
        <v>14.7</v>
      </c>
      <c r="M7">
        <v>0</v>
      </c>
      <c r="N7">
        <v>1.5</v>
      </c>
      <c r="O7">
        <v>3.3</v>
      </c>
      <c r="Q7">
        <v>18</v>
      </c>
      <c r="R7" t="s">
        <v>238</v>
      </c>
      <c r="S7" s="28" t="s">
        <v>319</v>
      </c>
      <c r="T7" t="s">
        <v>351</v>
      </c>
    </row>
    <row r="8" spans="1:20" ht="28.5" x14ac:dyDescent="0.2">
      <c r="A8">
        <v>57</v>
      </c>
      <c r="B8" t="s">
        <v>232</v>
      </c>
      <c r="C8" t="s">
        <v>352</v>
      </c>
      <c r="D8">
        <v>4</v>
      </c>
      <c r="E8">
        <v>17</v>
      </c>
      <c r="G8" s="28" t="s">
        <v>353</v>
      </c>
      <c r="H8" s="28" t="s">
        <v>318</v>
      </c>
      <c r="J8" s="28" t="s">
        <v>249</v>
      </c>
      <c r="L8">
        <v>16.45</v>
      </c>
      <c r="M8">
        <v>0</v>
      </c>
      <c r="N8">
        <v>1</v>
      </c>
      <c r="O8">
        <v>2.2000000000000002</v>
      </c>
      <c r="Q8">
        <v>18.649999999999999</v>
      </c>
      <c r="R8" t="s">
        <v>238</v>
      </c>
      <c r="S8" s="28" t="s">
        <v>319</v>
      </c>
      <c r="T8" t="s">
        <v>354</v>
      </c>
    </row>
    <row r="9" spans="1:20" ht="28.5" x14ac:dyDescent="0.2">
      <c r="A9">
        <v>60</v>
      </c>
      <c r="B9" t="s">
        <v>244</v>
      </c>
      <c r="C9" t="s">
        <v>246</v>
      </c>
      <c r="D9">
        <v>3</v>
      </c>
      <c r="E9">
        <v>20</v>
      </c>
      <c r="G9" s="28" t="s">
        <v>247</v>
      </c>
      <c r="H9" s="28" t="s">
        <v>28</v>
      </c>
      <c r="I9" s="28" t="s">
        <v>248</v>
      </c>
      <c r="J9" s="28" t="s">
        <v>249</v>
      </c>
      <c r="L9">
        <v>15.6</v>
      </c>
      <c r="M9">
        <v>0</v>
      </c>
      <c r="N9">
        <v>2</v>
      </c>
      <c r="O9">
        <v>4.4000000000000004</v>
      </c>
      <c r="Q9">
        <v>20</v>
      </c>
      <c r="R9" t="s">
        <v>238</v>
      </c>
      <c r="S9" s="28" t="s">
        <v>250</v>
      </c>
      <c r="T9" t="s">
        <v>355</v>
      </c>
    </row>
    <row r="10" spans="1:20" ht="28.5" x14ac:dyDescent="0.2">
      <c r="A10">
        <v>62</v>
      </c>
      <c r="B10" t="s">
        <v>257</v>
      </c>
      <c r="C10" t="s">
        <v>356</v>
      </c>
      <c r="D10">
        <v>2</v>
      </c>
      <c r="E10">
        <v>22</v>
      </c>
      <c r="F10" t="s">
        <v>20</v>
      </c>
      <c r="G10" s="28" t="s">
        <v>313</v>
      </c>
      <c r="H10" s="28" t="s">
        <v>314</v>
      </c>
      <c r="J10" s="28" t="s">
        <v>245</v>
      </c>
      <c r="L10">
        <v>14.3</v>
      </c>
      <c r="M10">
        <v>0</v>
      </c>
      <c r="N10">
        <v>2</v>
      </c>
      <c r="O10">
        <v>4.4000000000000004</v>
      </c>
      <c r="Q10">
        <v>18.7</v>
      </c>
      <c r="R10" t="s">
        <v>238</v>
      </c>
      <c r="S10" s="28" t="s">
        <v>315</v>
      </c>
      <c r="T10" t="s">
        <v>357</v>
      </c>
    </row>
    <row r="11" spans="1:20" ht="42.75" x14ac:dyDescent="0.2">
      <c r="A11">
        <v>63</v>
      </c>
      <c r="B11" t="s">
        <v>232</v>
      </c>
      <c r="C11" t="s">
        <v>288</v>
      </c>
      <c r="D11">
        <v>3</v>
      </c>
      <c r="E11">
        <v>18</v>
      </c>
      <c r="F11" t="s">
        <v>20</v>
      </c>
      <c r="G11" s="28" t="s">
        <v>358</v>
      </c>
      <c r="H11" s="28" t="s">
        <v>275</v>
      </c>
      <c r="J11" s="28" t="s">
        <v>277</v>
      </c>
      <c r="L11">
        <v>14.7</v>
      </c>
      <c r="M11">
        <v>0</v>
      </c>
      <c r="N11">
        <v>1.5</v>
      </c>
      <c r="O11">
        <v>3.3</v>
      </c>
      <c r="Q11">
        <v>18</v>
      </c>
      <c r="R11" t="s">
        <v>238</v>
      </c>
      <c r="S11" s="28" t="s">
        <v>359</v>
      </c>
      <c r="T11" t="s">
        <v>360</v>
      </c>
    </row>
    <row r="12" spans="1:20" x14ac:dyDescent="0.2">
      <c r="A12">
        <v>64</v>
      </c>
      <c r="B12" t="s">
        <v>232</v>
      </c>
      <c r="C12" t="s">
        <v>281</v>
      </c>
      <c r="D12">
        <v>4</v>
      </c>
      <c r="E12">
        <v>16</v>
      </c>
      <c r="F12" t="s">
        <v>14</v>
      </c>
      <c r="G12" s="28" t="s">
        <v>361</v>
      </c>
      <c r="H12" s="28" t="s">
        <v>312</v>
      </c>
      <c r="J12" s="28" t="s">
        <v>235</v>
      </c>
      <c r="L12">
        <v>16</v>
      </c>
      <c r="M12">
        <v>1.5</v>
      </c>
      <c r="N12">
        <v>1</v>
      </c>
      <c r="O12">
        <v>2.2000000000000002</v>
      </c>
      <c r="Q12">
        <v>19.7</v>
      </c>
      <c r="R12" t="s">
        <v>238</v>
      </c>
      <c r="S12" s="28" t="s">
        <v>282</v>
      </c>
      <c r="T12" t="s">
        <v>362</v>
      </c>
    </row>
    <row r="13" spans="1:20" ht="28.5" x14ac:dyDescent="0.2">
      <c r="A13">
        <v>65</v>
      </c>
      <c r="B13" t="s">
        <v>273</v>
      </c>
      <c r="C13" t="s">
        <v>363</v>
      </c>
      <c r="D13">
        <v>4</v>
      </c>
      <c r="E13">
        <v>18</v>
      </c>
      <c r="F13" t="s">
        <v>14</v>
      </c>
      <c r="G13" s="28" t="s">
        <v>364</v>
      </c>
      <c r="H13" s="28" t="s">
        <v>312</v>
      </c>
      <c r="J13" s="28" t="s">
        <v>235</v>
      </c>
      <c r="L13">
        <v>16.899999999999999</v>
      </c>
      <c r="M13">
        <v>1.5</v>
      </c>
      <c r="N13">
        <v>2</v>
      </c>
      <c r="O13">
        <v>0.9</v>
      </c>
      <c r="Q13">
        <v>19.3</v>
      </c>
      <c r="R13" t="s">
        <v>238</v>
      </c>
      <c r="S13" s="28" t="s">
        <v>365</v>
      </c>
      <c r="T13" t="s">
        <v>366</v>
      </c>
    </row>
    <row r="14" spans="1:20" ht="42.75" x14ac:dyDescent="0.2">
      <c r="A14">
        <v>66</v>
      </c>
      <c r="B14" t="s">
        <v>232</v>
      </c>
      <c r="C14" t="s">
        <v>367</v>
      </c>
      <c r="D14">
        <v>3</v>
      </c>
      <c r="E14">
        <v>20</v>
      </c>
      <c r="G14" s="28" t="s">
        <v>368</v>
      </c>
      <c r="H14" s="28" t="s">
        <v>301</v>
      </c>
      <c r="I14" s="28" t="s">
        <v>369</v>
      </c>
      <c r="J14" s="28" t="s">
        <v>235</v>
      </c>
      <c r="L14">
        <v>15.6</v>
      </c>
      <c r="M14">
        <v>0</v>
      </c>
      <c r="N14">
        <v>1</v>
      </c>
      <c r="O14">
        <v>2.2000000000000002</v>
      </c>
      <c r="Q14">
        <v>17.8</v>
      </c>
      <c r="R14" t="s">
        <v>238</v>
      </c>
      <c r="S14" s="28" t="s">
        <v>370</v>
      </c>
      <c r="T14" t="s">
        <v>371</v>
      </c>
    </row>
    <row r="15" spans="1:20" ht="28.5" x14ac:dyDescent="0.2">
      <c r="A15">
        <v>67</v>
      </c>
      <c r="B15" t="s">
        <v>244</v>
      </c>
      <c r="C15" t="s">
        <v>299</v>
      </c>
      <c r="D15">
        <v>3</v>
      </c>
      <c r="E15">
        <v>17</v>
      </c>
      <c r="F15" t="s">
        <v>74</v>
      </c>
      <c r="G15" s="28" t="s">
        <v>300</v>
      </c>
      <c r="H15" s="28" t="s">
        <v>301</v>
      </c>
      <c r="J15" s="28" t="s">
        <v>302</v>
      </c>
      <c r="L15">
        <v>14.25</v>
      </c>
      <c r="M15">
        <v>1</v>
      </c>
      <c r="N15">
        <v>2</v>
      </c>
      <c r="O15">
        <v>4.4000000000000004</v>
      </c>
      <c r="Q15">
        <v>19.649999999999999</v>
      </c>
      <c r="R15" t="s">
        <v>238</v>
      </c>
      <c r="S15" s="28" t="s">
        <v>303</v>
      </c>
      <c r="T15" t="s">
        <v>372</v>
      </c>
    </row>
    <row r="16" spans="1:20" ht="28.5" x14ac:dyDescent="0.2">
      <c r="A16">
        <v>68</v>
      </c>
      <c r="B16" t="s">
        <v>232</v>
      </c>
      <c r="C16" t="s">
        <v>296</v>
      </c>
      <c r="D16">
        <v>3</v>
      </c>
      <c r="E16">
        <v>22</v>
      </c>
      <c r="G16" s="28" t="s">
        <v>373</v>
      </c>
      <c r="H16" s="28" t="s">
        <v>57</v>
      </c>
      <c r="J16" s="28" t="s">
        <v>294</v>
      </c>
      <c r="L16">
        <v>16.5</v>
      </c>
      <c r="M16">
        <v>0</v>
      </c>
      <c r="N16">
        <v>1</v>
      </c>
      <c r="O16">
        <v>2.2000000000000002</v>
      </c>
      <c r="Q16">
        <v>18.7</v>
      </c>
      <c r="R16" t="s">
        <v>239</v>
      </c>
      <c r="S16" s="28" t="s">
        <v>297</v>
      </c>
      <c r="T16" t="s">
        <v>374</v>
      </c>
    </row>
    <row r="17" spans="1:20" ht="28.5" x14ac:dyDescent="0.2">
      <c r="A17">
        <v>69</v>
      </c>
      <c r="B17" t="s">
        <v>244</v>
      </c>
      <c r="C17" t="s">
        <v>375</v>
      </c>
      <c r="D17">
        <v>3</v>
      </c>
      <c r="E17">
        <v>18</v>
      </c>
      <c r="G17" s="28" t="s">
        <v>376</v>
      </c>
      <c r="H17" s="28" t="s">
        <v>323</v>
      </c>
      <c r="J17" s="28" t="s">
        <v>324</v>
      </c>
      <c r="L17">
        <v>14.7</v>
      </c>
      <c r="M17">
        <v>0</v>
      </c>
      <c r="N17">
        <v>2</v>
      </c>
      <c r="O17">
        <v>4.4000000000000004</v>
      </c>
      <c r="Q17">
        <v>19.100000000000001</v>
      </c>
      <c r="R17" t="s">
        <v>238</v>
      </c>
      <c r="S17" s="28" t="s">
        <v>325</v>
      </c>
      <c r="T17" t="s">
        <v>377</v>
      </c>
    </row>
    <row r="18" spans="1:20" ht="28.5" x14ac:dyDescent="0.2">
      <c r="A18">
        <v>70</v>
      </c>
      <c r="B18" t="s">
        <v>244</v>
      </c>
      <c r="C18" t="s">
        <v>378</v>
      </c>
      <c r="D18">
        <v>2</v>
      </c>
      <c r="E18">
        <v>24</v>
      </c>
      <c r="G18" s="28" t="s">
        <v>379</v>
      </c>
      <c r="H18" s="28" t="s">
        <v>380</v>
      </c>
      <c r="J18" s="28" t="s">
        <v>235</v>
      </c>
      <c r="L18">
        <v>15.2</v>
      </c>
      <c r="M18">
        <v>0</v>
      </c>
      <c r="N18">
        <v>2</v>
      </c>
      <c r="O18">
        <v>4.4000000000000004</v>
      </c>
      <c r="Q18">
        <v>19.600000000000001</v>
      </c>
      <c r="R18" t="s">
        <v>233</v>
      </c>
      <c r="S18" s="28" t="s">
        <v>381</v>
      </c>
      <c r="T18" t="s">
        <v>382</v>
      </c>
    </row>
    <row r="19" spans="1:20" ht="28.5" x14ac:dyDescent="0.2">
      <c r="A19">
        <v>71</v>
      </c>
      <c r="B19" t="s">
        <v>257</v>
      </c>
      <c r="C19" t="s">
        <v>383</v>
      </c>
      <c r="D19">
        <v>3</v>
      </c>
      <c r="E19">
        <v>22</v>
      </c>
      <c r="G19" s="28" t="s">
        <v>384</v>
      </c>
      <c r="H19" s="28" t="s">
        <v>28</v>
      </c>
      <c r="J19" s="28" t="s">
        <v>385</v>
      </c>
      <c r="L19">
        <v>16.5</v>
      </c>
      <c r="M19">
        <v>0</v>
      </c>
      <c r="N19">
        <v>1</v>
      </c>
      <c r="O19">
        <v>2.2000000000000002</v>
      </c>
      <c r="Q19">
        <v>18.7</v>
      </c>
      <c r="R19" t="s">
        <v>238</v>
      </c>
      <c r="S19" s="28" t="s">
        <v>250</v>
      </c>
      <c r="T19" t="s">
        <v>386</v>
      </c>
    </row>
    <row r="20" spans="1:20" ht="28.5" x14ac:dyDescent="0.2">
      <c r="A20">
        <v>72</v>
      </c>
      <c r="B20" t="s">
        <v>257</v>
      </c>
      <c r="C20" t="s">
        <v>387</v>
      </c>
      <c r="D20">
        <v>2</v>
      </c>
      <c r="E20">
        <v>26</v>
      </c>
      <c r="G20" s="28" t="s">
        <v>388</v>
      </c>
      <c r="H20" s="28" t="s">
        <v>26</v>
      </c>
      <c r="J20" s="28" t="s">
        <v>304</v>
      </c>
      <c r="L20">
        <v>16.100000000000001</v>
      </c>
      <c r="M20">
        <v>0</v>
      </c>
      <c r="N20">
        <v>1</v>
      </c>
      <c r="O20">
        <v>2.2000000000000002</v>
      </c>
      <c r="Q20">
        <v>18.3</v>
      </c>
      <c r="R20" t="s">
        <v>233</v>
      </c>
      <c r="S20" s="28" t="s">
        <v>305</v>
      </c>
      <c r="T20" t="s">
        <v>389</v>
      </c>
    </row>
    <row r="21" spans="1:20" ht="42.75" x14ac:dyDescent="0.2">
      <c r="A21">
        <v>73</v>
      </c>
      <c r="B21" t="s">
        <v>257</v>
      </c>
      <c r="C21" t="s">
        <v>268</v>
      </c>
      <c r="D21">
        <v>1</v>
      </c>
      <c r="E21">
        <v>28</v>
      </c>
      <c r="F21" t="s">
        <v>20</v>
      </c>
      <c r="G21" s="28" t="s">
        <v>269</v>
      </c>
      <c r="H21" s="28" t="s">
        <v>270</v>
      </c>
      <c r="I21" s="28" t="s">
        <v>271</v>
      </c>
      <c r="J21" s="28" t="s">
        <v>91</v>
      </c>
      <c r="L21">
        <v>14.8</v>
      </c>
      <c r="M21">
        <v>0</v>
      </c>
      <c r="N21">
        <v>2</v>
      </c>
      <c r="O21">
        <v>4.4000000000000004</v>
      </c>
      <c r="Q21">
        <v>19.2</v>
      </c>
      <c r="R21" t="s">
        <v>233</v>
      </c>
      <c r="S21" s="28" t="s">
        <v>272</v>
      </c>
      <c r="T21" t="s">
        <v>390</v>
      </c>
    </row>
    <row r="22" spans="1:20" ht="171" x14ac:dyDescent="0.2">
      <c r="A22">
        <v>74</v>
      </c>
      <c r="B22" t="s">
        <v>244</v>
      </c>
      <c r="C22" t="s">
        <v>391</v>
      </c>
      <c r="D22">
        <v>2</v>
      </c>
      <c r="E22">
        <v>24</v>
      </c>
      <c r="G22" s="28" t="s">
        <v>392</v>
      </c>
      <c r="H22" s="28" t="s">
        <v>301</v>
      </c>
      <c r="I22" s="28" t="s">
        <v>393</v>
      </c>
      <c r="J22" s="28" t="s">
        <v>235</v>
      </c>
      <c r="L22">
        <v>15.2</v>
      </c>
      <c r="M22">
        <v>0</v>
      </c>
      <c r="N22">
        <v>2</v>
      </c>
      <c r="O22">
        <v>4.4000000000000004</v>
      </c>
      <c r="Q22">
        <v>19.600000000000001</v>
      </c>
      <c r="R22" t="s">
        <v>233</v>
      </c>
      <c r="S22" s="28" t="s">
        <v>245</v>
      </c>
      <c r="T22" t="s">
        <v>394</v>
      </c>
    </row>
    <row r="23" spans="1:20" ht="28.5" x14ac:dyDescent="0.2">
      <c r="A23">
        <v>75</v>
      </c>
      <c r="B23" t="s">
        <v>279</v>
      </c>
      <c r="C23" t="s">
        <v>395</v>
      </c>
      <c r="D23">
        <v>2</v>
      </c>
      <c r="E23">
        <v>30</v>
      </c>
      <c r="F23" t="s">
        <v>33</v>
      </c>
      <c r="G23" s="28" t="s">
        <v>396</v>
      </c>
      <c r="H23" s="28" t="s">
        <v>397</v>
      </c>
      <c r="J23" s="28" t="s">
        <v>298</v>
      </c>
      <c r="L23">
        <v>17.899999999999999</v>
      </c>
      <c r="M23">
        <v>-1</v>
      </c>
      <c r="N23">
        <v>1</v>
      </c>
      <c r="O23">
        <v>2.2000000000000002</v>
      </c>
      <c r="Q23">
        <v>19.100000000000001</v>
      </c>
      <c r="R23" t="s">
        <v>239</v>
      </c>
      <c r="S23" s="28" t="s">
        <v>235</v>
      </c>
      <c r="T23" t="s">
        <v>398</v>
      </c>
    </row>
    <row r="24" spans="1:20" ht="42.75" x14ac:dyDescent="0.2">
      <c r="A24">
        <v>76</v>
      </c>
      <c r="B24" t="s">
        <v>244</v>
      </c>
      <c r="C24" t="s">
        <v>399</v>
      </c>
      <c r="D24">
        <v>1</v>
      </c>
      <c r="E24">
        <v>31</v>
      </c>
      <c r="F24" t="s">
        <v>33</v>
      </c>
      <c r="G24" s="28" t="s">
        <v>251</v>
      </c>
      <c r="H24" s="28" t="s">
        <v>252</v>
      </c>
      <c r="I24" s="28" t="s">
        <v>253</v>
      </c>
      <c r="J24" s="28" t="s">
        <v>235</v>
      </c>
      <c r="L24">
        <v>16.149999999999999</v>
      </c>
      <c r="M24">
        <v>-1</v>
      </c>
      <c r="N24">
        <v>2</v>
      </c>
      <c r="O24">
        <v>4.4000000000000004</v>
      </c>
      <c r="Q24">
        <v>19.55</v>
      </c>
      <c r="R24" t="s">
        <v>239</v>
      </c>
      <c r="S24" s="28" t="s">
        <v>254</v>
      </c>
      <c r="T24" t="s">
        <v>400</v>
      </c>
    </row>
    <row r="25" spans="1:20" ht="57" x14ac:dyDescent="0.2">
      <c r="A25">
        <v>77</v>
      </c>
      <c r="B25" t="s">
        <v>257</v>
      </c>
      <c r="C25" t="s">
        <v>401</v>
      </c>
      <c r="D25">
        <v>2</v>
      </c>
      <c r="E25">
        <v>26</v>
      </c>
      <c r="G25" s="28" t="s">
        <v>402</v>
      </c>
      <c r="H25" s="28" t="s">
        <v>403</v>
      </c>
      <c r="I25" s="28" t="s">
        <v>404</v>
      </c>
      <c r="J25" s="28" t="s">
        <v>405</v>
      </c>
      <c r="L25">
        <v>16.100000000000001</v>
      </c>
      <c r="M25">
        <v>0</v>
      </c>
      <c r="N25">
        <v>1</v>
      </c>
      <c r="O25">
        <v>2.2000000000000002</v>
      </c>
      <c r="Q25">
        <v>18.3</v>
      </c>
      <c r="R25" t="s">
        <v>239</v>
      </c>
      <c r="S25" s="28" t="s">
        <v>243</v>
      </c>
      <c r="T25" t="s">
        <v>406</v>
      </c>
    </row>
    <row r="26" spans="1:20" ht="57" x14ac:dyDescent="0.2">
      <c r="A26">
        <v>78</v>
      </c>
      <c r="B26" t="s">
        <v>279</v>
      </c>
      <c r="C26" t="s">
        <v>332</v>
      </c>
      <c r="D26">
        <v>2</v>
      </c>
      <c r="E26">
        <v>30</v>
      </c>
      <c r="F26" t="s">
        <v>33</v>
      </c>
      <c r="G26" s="28" t="s">
        <v>333</v>
      </c>
      <c r="H26" s="28" t="s">
        <v>240</v>
      </c>
      <c r="I26" s="28" t="s">
        <v>407</v>
      </c>
      <c r="J26" s="28" t="s">
        <v>334</v>
      </c>
      <c r="L26">
        <v>17.899999999999999</v>
      </c>
      <c r="M26">
        <v>-1</v>
      </c>
      <c r="N26">
        <v>3</v>
      </c>
      <c r="O26">
        <v>1.35</v>
      </c>
      <c r="Q26">
        <v>18.25</v>
      </c>
      <c r="R26" t="s">
        <v>239</v>
      </c>
      <c r="S26" s="28" t="s">
        <v>243</v>
      </c>
      <c r="T26" t="s">
        <v>408</v>
      </c>
    </row>
    <row r="27" spans="1:20" ht="85.5" x14ac:dyDescent="0.2">
      <c r="A27">
        <v>79</v>
      </c>
      <c r="B27" t="s">
        <v>257</v>
      </c>
      <c r="C27" t="s">
        <v>264</v>
      </c>
      <c r="D27">
        <v>2</v>
      </c>
      <c r="E27">
        <v>22</v>
      </c>
      <c r="G27" s="28" t="s">
        <v>265</v>
      </c>
      <c r="H27" s="28" t="s">
        <v>28</v>
      </c>
      <c r="I27" s="28" t="s">
        <v>266</v>
      </c>
      <c r="J27" s="28" t="s">
        <v>235</v>
      </c>
      <c r="L27">
        <v>14.3</v>
      </c>
      <c r="M27">
        <v>0</v>
      </c>
      <c r="N27">
        <v>2</v>
      </c>
      <c r="O27">
        <v>4.4000000000000004</v>
      </c>
      <c r="Q27">
        <v>18.7</v>
      </c>
      <c r="R27" t="s">
        <v>239</v>
      </c>
      <c r="S27" s="28" t="s">
        <v>267</v>
      </c>
      <c r="T27" t="s">
        <v>280</v>
      </c>
    </row>
    <row r="28" spans="1:20" ht="42.75" x14ac:dyDescent="0.2">
      <c r="A28">
        <v>80</v>
      </c>
      <c r="B28" t="s">
        <v>257</v>
      </c>
      <c r="C28" t="s">
        <v>409</v>
      </c>
      <c r="D28">
        <v>1</v>
      </c>
      <c r="E28">
        <v>32</v>
      </c>
      <c r="F28" t="s">
        <v>33</v>
      </c>
      <c r="G28" s="28" t="s">
        <v>410</v>
      </c>
      <c r="H28" s="28" t="s">
        <v>403</v>
      </c>
      <c r="I28" s="28" t="s">
        <v>253</v>
      </c>
      <c r="J28" s="28" t="s">
        <v>316</v>
      </c>
      <c r="L28">
        <v>16.600000000000001</v>
      </c>
      <c r="M28">
        <v>-1</v>
      </c>
      <c r="N28">
        <v>1</v>
      </c>
      <c r="O28">
        <v>2.2000000000000002</v>
      </c>
      <c r="Q28">
        <v>17.8</v>
      </c>
      <c r="R28" t="s">
        <v>239</v>
      </c>
      <c r="S28" s="28" t="s">
        <v>411</v>
      </c>
      <c r="T28" t="s">
        <v>412</v>
      </c>
    </row>
    <row r="29" spans="1:20" ht="28.5" x14ac:dyDescent="0.2">
      <c r="A29">
        <v>81</v>
      </c>
      <c r="B29" t="s">
        <v>232</v>
      </c>
      <c r="C29" t="s">
        <v>413</v>
      </c>
      <c r="D29">
        <v>2</v>
      </c>
      <c r="E29">
        <v>30</v>
      </c>
      <c r="F29" t="s">
        <v>33</v>
      </c>
      <c r="G29" s="28" t="s">
        <v>414</v>
      </c>
      <c r="H29" s="28" t="s">
        <v>57</v>
      </c>
      <c r="J29" s="28" t="s">
        <v>298</v>
      </c>
      <c r="L29">
        <v>17.899999999999999</v>
      </c>
      <c r="M29">
        <v>-1</v>
      </c>
      <c r="N29">
        <v>1</v>
      </c>
      <c r="O29">
        <v>2.2000000000000002</v>
      </c>
      <c r="Q29">
        <v>19.100000000000001</v>
      </c>
      <c r="R29" t="s">
        <v>239</v>
      </c>
      <c r="S29" s="28" t="s">
        <v>297</v>
      </c>
      <c r="T29" t="s">
        <v>415</v>
      </c>
    </row>
    <row r="30" spans="1:20" ht="28.5" x14ac:dyDescent="0.2">
      <c r="A30">
        <v>82</v>
      </c>
      <c r="B30" t="s">
        <v>232</v>
      </c>
      <c r="C30" t="s">
        <v>283</v>
      </c>
      <c r="D30">
        <v>1</v>
      </c>
      <c r="E30">
        <v>35</v>
      </c>
      <c r="F30" t="s">
        <v>33</v>
      </c>
      <c r="G30" s="28" t="s">
        <v>284</v>
      </c>
      <c r="H30" s="28" t="s">
        <v>285</v>
      </c>
      <c r="J30" s="28" t="s">
        <v>286</v>
      </c>
      <c r="L30">
        <v>17.95</v>
      </c>
      <c r="M30">
        <v>-1</v>
      </c>
      <c r="N30">
        <v>5</v>
      </c>
      <c r="O30">
        <v>2.25</v>
      </c>
      <c r="Q30">
        <v>19.2</v>
      </c>
      <c r="R30" t="s">
        <v>239</v>
      </c>
      <c r="S30" s="28" t="s">
        <v>287</v>
      </c>
      <c r="T30" t="s">
        <v>416</v>
      </c>
    </row>
    <row r="31" spans="1:20" ht="28.5" x14ac:dyDescent="0.2">
      <c r="A31">
        <v>83</v>
      </c>
      <c r="B31" t="s">
        <v>279</v>
      </c>
      <c r="C31" t="s">
        <v>417</v>
      </c>
      <c r="D31">
        <v>2</v>
      </c>
      <c r="E31">
        <v>24</v>
      </c>
      <c r="F31" t="s">
        <v>33</v>
      </c>
      <c r="G31" s="28" t="s">
        <v>418</v>
      </c>
      <c r="H31" s="28" t="s">
        <v>28</v>
      </c>
      <c r="J31" s="28" t="s">
        <v>286</v>
      </c>
      <c r="L31">
        <v>15.2</v>
      </c>
      <c r="M31">
        <v>-1</v>
      </c>
      <c r="N31">
        <v>2</v>
      </c>
      <c r="O31">
        <v>4.4000000000000004</v>
      </c>
      <c r="Q31">
        <v>18.600000000000001</v>
      </c>
      <c r="R31" t="s">
        <v>239</v>
      </c>
      <c r="S31" s="28" t="s">
        <v>294</v>
      </c>
      <c r="T31" t="s">
        <v>419</v>
      </c>
    </row>
    <row r="32" spans="1:20" ht="42.75" x14ac:dyDescent="0.2">
      <c r="A32">
        <v>84</v>
      </c>
      <c r="B32" t="s">
        <v>244</v>
      </c>
      <c r="C32" t="s">
        <v>306</v>
      </c>
      <c r="D32">
        <v>1</v>
      </c>
      <c r="E32">
        <v>36</v>
      </c>
      <c r="F32" t="s">
        <v>33</v>
      </c>
      <c r="G32" s="28" t="s">
        <v>307</v>
      </c>
      <c r="H32" s="28" t="s">
        <v>308</v>
      </c>
      <c r="I32" s="28" t="s">
        <v>309</v>
      </c>
      <c r="J32" s="28" t="s">
        <v>310</v>
      </c>
      <c r="L32">
        <v>18.399999999999999</v>
      </c>
      <c r="M32">
        <v>-1</v>
      </c>
      <c r="N32">
        <v>3</v>
      </c>
      <c r="O32">
        <v>1.35</v>
      </c>
      <c r="Q32">
        <v>18.75</v>
      </c>
      <c r="R32" t="s">
        <v>239</v>
      </c>
      <c r="S32" s="28" t="s">
        <v>311</v>
      </c>
      <c r="T32" t="s">
        <v>420</v>
      </c>
    </row>
    <row r="33" spans="1:20" ht="28.5" x14ac:dyDescent="0.2">
      <c r="A33">
        <v>85</v>
      </c>
      <c r="B33" t="s">
        <v>279</v>
      </c>
      <c r="C33" t="s">
        <v>328</v>
      </c>
      <c r="D33">
        <v>2</v>
      </c>
      <c r="E33">
        <v>30</v>
      </c>
      <c r="F33" t="s">
        <v>33</v>
      </c>
      <c r="G33" s="28" t="s">
        <v>329</v>
      </c>
      <c r="H33" s="28" t="s">
        <v>301</v>
      </c>
      <c r="J33" s="28" t="s">
        <v>330</v>
      </c>
      <c r="L33">
        <v>17.899999999999999</v>
      </c>
      <c r="M33">
        <v>-1</v>
      </c>
      <c r="N33">
        <v>1</v>
      </c>
      <c r="O33">
        <v>2.2000000000000002</v>
      </c>
      <c r="Q33">
        <v>19.100000000000001</v>
      </c>
      <c r="R33" t="s">
        <v>239</v>
      </c>
      <c r="S33" s="28" t="s">
        <v>331</v>
      </c>
      <c r="T33" t="s">
        <v>421</v>
      </c>
    </row>
    <row r="34" spans="1:20" ht="114" x14ac:dyDescent="0.2">
      <c r="A34">
        <v>86</v>
      </c>
      <c r="B34" t="s">
        <v>257</v>
      </c>
      <c r="C34" t="s">
        <v>258</v>
      </c>
      <c r="D34">
        <v>2</v>
      </c>
      <c r="E34">
        <v>18</v>
      </c>
      <c r="F34" t="s">
        <v>20</v>
      </c>
      <c r="G34" s="28" t="s">
        <v>259</v>
      </c>
      <c r="H34" s="28" t="s">
        <v>260</v>
      </c>
      <c r="I34" s="28" t="s">
        <v>261</v>
      </c>
      <c r="J34" s="28" t="s">
        <v>262</v>
      </c>
      <c r="L34">
        <v>12.5</v>
      </c>
      <c r="M34">
        <v>0</v>
      </c>
      <c r="N34">
        <v>3</v>
      </c>
      <c r="O34">
        <v>6.6</v>
      </c>
      <c r="Q34">
        <v>19.100000000000001</v>
      </c>
      <c r="R34" t="s">
        <v>233</v>
      </c>
      <c r="S34" s="28" t="s">
        <v>263</v>
      </c>
      <c r="T34" t="s">
        <v>422</v>
      </c>
    </row>
    <row r="35" spans="1:20" ht="99.75" x14ac:dyDescent="0.2">
      <c r="A35">
        <v>87</v>
      </c>
      <c r="B35" t="s">
        <v>273</v>
      </c>
      <c r="C35" t="s">
        <v>274</v>
      </c>
      <c r="D35">
        <v>2</v>
      </c>
      <c r="E35">
        <v>21</v>
      </c>
      <c r="G35" s="28" t="s">
        <v>423</v>
      </c>
      <c r="H35" s="28" t="s">
        <v>275</v>
      </c>
      <c r="I35" s="28" t="s">
        <v>276</v>
      </c>
      <c r="J35" s="28" t="s">
        <v>277</v>
      </c>
      <c r="L35">
        <v>13.85</v>
      </c>
      <c r="M35">
        <v>0</v>
      </c>
      <c r="N35">
        <v>2</v>
      </c>
      <c r="O35">
        <v>4.4000000000000004</v>
      </c>
      <c r="Q35">
        <v>18.25</v>
      </c>
      <c r="R35" t="s">
        <v>238</v>
      </c>
      <c r="S35" s="28" t="s">
        <v>278</v>
      </c>
      <c r="T35" t="s">
        <v>424</v>
      </c>
    </row>
    <row r="36" spans="1:20" ht="28.5" x14ac:dyDescent="0.2">
      <c r="A36">
        <v>88</v>
      </c>
      <c r="B36" t="s">
        <v>279</v>
      </c>
      <c r="C36" t="s">
        <v>425</v>
      </c>
      <c r="D36">
        <v>2</v>
      </c>
      <c r="E36">
        <v>28</v>
      </c>
      <c r="F36" s="28" t="s">
        <v>20</v>
      </c>
      <c r="G36" s="28" t="s">
        <v>426</v>
      </c>
      <c r="H36" s="28" t="s">
        <v>260</v>
      </c>
      <c r="J36" s="28" t="s">
        <v>293</v>
      </c>
      <c r="L36">
        <v>17</v>
      </c>
      <c r="M36">
        <v>0</v>
      </c>
      <c r="N36">
        <v>3</v>
      </c>
      <c r="O36">
        <v>1.35</v>
      </c>
      <c r="Q36">
        <v>18.350000000000001</v>
      </c>
      <c r="R36" t="s">
        <v>233</v>
      </c>
      <c r="S36" s="28" t="s">
        <v>263</v>
      </c>
      <c r="T36" t="s">
        <v>427</v>
      </c>
    </row>
    <row r="37" spans="1:20" ht="28.5" x14ac:dyDescent="0.2">
      <c r="A37">
        <v>89</v>
      </c>
      <c r="B37" t="s">
        <v>273</v>
      </c>
      <c r="C37" t="s">
        <v>428</v>
      </c>
      <c r="D37">
        <v>2</v>
      </c>
      <c r="E37">
        <v>24</v>
      </c>
      <c r="G37" s="28" t="s">
        <v>429</v>
      </c>
      <c r="H37" s="28" t="s">
        <v>292</v>
      </c>
      <c r="J37" s="28" t="s">
        <v>293</v>
      </c>
      <c r="L37">
        <v>15.2</v>
      </c>
      <c r="M37">
        <v>0</v>
      </c>
      <c r="N37">
        <v>2</v>
      </c>
      <c r="O37">
        <v>4.4000000000000004</v>
      </c>
      <c r="Q37">
        <v>19.600000000000001</v>
      </c>
      <c r="R37" t="s">
        <v>233</v>
      </c>
      <c r="S37" s="28" t="s">
        <v>303</v>
      </c>
      <c r="T37" t="s">
        <v>430</v>
      </c>
    </row>
    <row r="38" spans="1:20" ht="28.5" x14ac:dyDescent="0.2">
      <c r="A38">
        <v>90</v>
      </c>
      <c r="B38" t="s">
        <v>244</v>
      </c>
      <c r="C38" t="s">
        <v>431</v>
      </c>
      <c r="D38">
        <v>1</v>
      </c>
      <c r="E38">
        <v>30</v>
      </c>
      <c r="F38" t="s">
        <v>20</v>
      </c>
      <c r="G38" s="28" t="s">
        <v>432</v>
      </c>
      <c r="H38" s="28" t="s">
        <v>317</v>
      </c>
      <c r="J38" s="28" t="s">
        <v>293</v>
      </c>
      <c r="L38">
        <v>15.7</v>
      </c>
      <c r="M38">
        <v>0</v>
      </c>
      <c r="N38">
        <v>1.5</v>
      </c>
      <c r="O38">
        <v>3.3</v>
      </c>
      <c r="Q38">
        <v>19</v>
      </c>
      <c r="R38" t="s">
        <v>233</v>
      </c>
      <c r="S38" s="28" t="s">
        <v>263</v>
      </c>
      <c r="T38" t="s">
        <v>433</v>
      </c>
    </row>
    <row r="39" spans="1:20" ht="28.5" x14ac:dyDescent="0.2">
      <c r="A39">
        <v>91</v>
      </c>
      <c r="B39" t="s">
        <v>232</v>
      </c>
      <c r="C39" t="s">
        <v>434</v>
      </c>
      <c r="D39">
        <v>3</v>
      </c>
      <c r="E39">
        <v>20</v>
      </c>
      <c r="G39" s="28" t="s">
        <v>435</v>
      </c>
      <c r="H39" s="28" t="s">
        <v>53</v>
      </c>
      <c r="J39" s="28" t="s">
        <v>293</v>
      </c>
      <c r="L39">
        <v>15.6</v>
      </c>
      <c r="M39">
        <v>0</v>
      </c>
      <c r="N39">
        <v>1.5</v>
      </c>
      <c r="O39">
        <v>3.3</v>
      </c>
      <c r="Q39">
        <v>18.899999999999999</v>
      </c>
      <c r="R39" t="s">
        <v>233</v>
      </c>
      <c r="S39" s="28" t="s">
        <v>290</v>
      </c>
      <c r="T39" t="s">
        <v>436</v>
      </c>
    </row>
    <row r="40" spans="1:20" ht="28.5" x14ac:dyDescent="0.2">
      <c r="A40">
        <v>92</v>
      </c>
      <c r="B40" t="s">
        <v>232</v>
      </c>
      <c r="C40" t="s">
        <v>234</v>
      </c>
      <c r="D40">
        <v>6</v>
      </c>
      <c r="E40">
        <v>13</v>
      </c>
      <c r="F40" s="28"/>
      <c r="H40" s="28" t="s">
        <v>26</v>
      </c>
      <c r="J40" s="28" t="s">
        <v>235</v>
      </c>
      <c r="L40">
        <v>19.05</v>
      </c>
      <c r="M40">
        <v>0</v>
      </c>
      <c r="N40">
        <v>0</v>
      </c>
      <c r="O40">
        <v>0</v>
      </c>
      <c r="Q40">
        <v>19.05</v>
      </c>
      <c r="R40" t="s">
        <v>236</v>
      </c>
      <c r="S40" s="28" t="s">
        <v>237</v>
      </c>
      <c r="T40" t="s">
        <v>437</v>
      </c>
    </row>
    <row r="41" spans="1:20" ht="28.5" x14ac:dyDescent="0.2">
      <c r="A41">
        <v>93</v>
      </c>
      <c r="B41" t="s">
        <v>232</v>
      </c>
      <c r="C41" t="s">
        <v>291</v>
      </c>
      <c r="D41">
        <v>5</v>
      </c>
      <c r="E41">
        <v>14</v>
      </c>
      <c r="F41" t="s">
        <v>14</v>
      </c>
      <c r="H41" s="28" t="s">
        <v>26</v>
      </c>
      <c r="J41" s="28" t="s">
        <v>235</v>
      </c>
      <c r="L41">
        <v>17.3</v>
      </c>
      <c r="M41">
        <v>1.5</v>
      </c>
      <c r="N41">
        <v>0</v>
      </c>
      <c r="O41">
        <v>0</v>
      </c>
      <c r="Q41">
        <v>18.8</v>
      </c>
      <c r="R41" t="s">
        <v>236</v>
      </c>
      <c r="S41" s="28" t="s">
        <v>237</v>
      </c>
      <c r="T41" t="s">
        <v>438</v>
      </c>
    </row>
    <row r="42" spans="1:20" ht="28.5" x14ac:dyDescent="0.2">
      <c r="A42">
        <v>94</v>
      </c>
      <c r="B42" t="s">
        <v>273</v>
      </c>
      <c r="C42" t="s">
        <v>321</v>
      </c>
      <c r="D42">
        <v>5</v>
      </c>
      <c r="E42">
        <v>13</v>
      </c>
      <c r="F42" t="s">
        <v>96</v>
      </c>
      <c r="H42" s="28" t="s">
        <v>26</v>
      </c>
      <c r="J42" s="28" t="s">
        <v>235</v>
      </c>
      <c r="L42">
        <v>16.850000000000001</v>
      </c>
      <c r="M42">
        <v>1.5</v>
      </c>
      <c r="N42">
        <v>0</v>
      </c>
      <c r="O42">
        <v>0</v>
      </c>
      <c r="Q42">
        <v>18.350000000000001</v>
      </c>
      <c r="R42" t="s">
        <v>236</v>
      </c>
      <c r="S42" s="28" t="s">
        <v>322</v>
      </c>
      <c r="T42" t="s">
        <v>439</v>
      </c>
    </row>
    <row r="43" spans="1:20" x14ac:dyDescent="0.2">
      <c r="A43">
        <v>95</v>
      </c>
      <c r="B43" t="s">
        <v>244</v>
      </c>
      <c r="C43" t="s">
        <v>255</v>
      </c>
      <c r="D43">
        <v>4</v>
      </c>
      <c r="E43">
        <v>22</v>
      </c>
      <c r="F43" t="s">
        <v>20</v>
      </c>
      <c r="H43" s="28" t="s">
        <v>26</v>
      </c>
      <c r="J43" s="28" t="s">
        <v>256</v>
      </c>
      <c r="L43">
        <v>18.7</v>
      </c>
      <c r="M43">
        <v>0</v>
      </c>
      <c r="N43">
        <v>0</v>
      </c>
      <c r="O43">
        <v>0</v>
      </c>
      <c r="Q43">
        <v>18.7</v>
      </c>
      <c r="R43" t="s">
        <v>236</v>
      </c>
      <c r="S43" s="28" t="s">
        <v>245</v>
      </c>
      <c r="T43" t="s">
        <v>440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D913-C566-45C6-A81B-A23758E65E8F}">
  <dimension ref="A5:B17"/>
  <sheetViews>
    <sheetView workbookViewId="0">
      <selection activeCell="B16" sqref="B16"/>
    </sheetView>
  </sheetViews>
  <sheetFormatPr defaultRowHeight="14.25" x14ac:dyDescent="0.2"/>
  <sheetData>
    <row r="5" spans="1:2" x14ac:dyDescent="0.2">
      <c r="A5" s="29" t="s">
        <v>182</v>
      </c>
      <c r="B5" s="30"/>
    </row>
    <row r="6" spans="1:2" x14ac:dyDescent="0.2">
      <c r="A6" s="3" t="s">
        <v>183</v>
      </c>
      <c r="B6" s="3" t="s">
        <v>189</v>
      </c>
    </row>
    <row r="7" spans="1:2" x14ac:dyDescent="0.2">
      <c r="A7" s="10" t="s">
        <v>160</v>
      </c>
      <c r="B7" s="3">
        <f>COUNTIF(角色列表!B:B,数据统计!A7)</f>
        <v>9</v>
      </c>
    </row>
    <row r="8" spans="1:2" x14ac:dyDescent="0.2">
      <c r="A8" s="10" t="s">
        <v>157</v>
      </c>
      <c r="B8" s="3">
        <f>COUNTIF(角色列表!B:B,数据统计!A8)</f>
        <v>18</v>
      </c>
    </row>
    <row r="9" spans="1:2" x14ac:dyDescent="0.2">
      <c r="A9" s="10" t="s">
        <v>159</v>
      </c>
      <c r="B9" s="3">
        <f>COUNTIF(角色列表!B:B,数据统计!A9)</f>
        <v>11</v>
      </c>
    </row>
    <row r="10" spans="1:2" x14ac:dyDescent="0.2">
      <c r="A10" s="10" t="s">
        <v>161</v>
      </c>
      <c r="B10" s="3">
        <f>COUNTIF(角色列表!B:B,数据统计!A10)</f>
        <v>6</v>
      </c>
    </row>
    <row r="11" spans="1:2" x14ac:dyDescent="0.2">
      <c r="A11" s="10" t="s">
        <v>162</v>
      </c>
      <c r="B11" s="3">
        <f>COUNTIF(角色列表!B:B,数据统计!A11)</f>
        <v>5</v>
      </c>
    </row>
    <row r="12" spans="1:2" x14ac:dyDescent="0.2">
      <c r="B12" s="2"/>
    </row>
    <row r="13" spans="1:2" x14ac:dyDescent="0.2">
      <c r="A13" s="10" t="s">
        <v>184</v>
      </c>
      <c r="B13" s="3" t="s">
        <v>189</v>
      </c>
    </row>
    <row r="14" spans="1:2" x14ac:dyDescent="0.2">
      <c r="A14" s="10" t="s">
        <v>185</v>
      </c>
      <c r="B14" s="3">
        <f>COUNTIF(角色列表!R:R,数据统计!A14)</f>
        <v>12</v>
      </c>
    </row>
    <row r="15" spans="1:2" x14ac:dyDescent="0.2">
      <c r="A15" s="10" t="s">
        <v>186</v>
      </c>
      <c r="B15" s="3">
        <f>COUNTIF(角色列表!R:R,数据统计!A15)</f>
        <v>20</v>
      </c>
    </row>
    <row r="16" spans="1:2" x14ac:dyDescent="0.2">
      <c r="A16" s="10" t="s">
        <v>187</v>
      </c>
      <c r="B16" s="3">
        <f>COUNTIF(角色列表!R:R,数据统计!A16)</f>
        <v>12</v>
      </c>
    </row>
    <row r="17" spans="1:2" x14ac:dyDescent="0.2">
      <c r="A17" s="10" t="s">
        <v>153</v>
      </c>
      <c r="B17" s="3">
        <f>COUNTIF(角色列表!R:R,数据统计!A17)</f>
        <v>5</v>
      </c>
    </row>
  </sheetData>
  <mergeCells count="1">
    <mergeCell ref="A5:B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54A7-3772-444D-AA2D-5E70DBC959BF}">
  <dimension ref="A4:Q26"/>
  <sheetViews>
    <sheetView topLeftCell="A10" zoomScale="145" zoomScaleNormal="145" workbookViewId="0">
      <selection activeCell="C33" sqref="C33"/>
    </sheetView>
  </sheetViews>
  <sheetFormatPr defaultRowHeight="14.25" x14ac:dyDescent="0.2"/>
  <sheetData>
    <row r="4" spans="1:17" s="7" customFormat="1" ht="27" x14ac:dyDescent="0.2">
      <c r="A4" s="31" t="s">
        <v>148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7" s="7" customFormat="1" x14ac:dyDescent="0.2">
      <c r="A5" s="32" t="s">
        <v>130</v>
      </c>
      <c r="B5" s="32"/>
      <c r="C5" s="32"/>
      <c r="D5" s="32"/>
      <c r="E5" s="32"/>
      <c r="F5" s="32"/>
    </row>
    <row r="6" spans="1:17" s="7" customFormat="1" ht="20.25" x14ac:dyDescent="0.2">
      <c r="A6" s="5" t="s">
        <v>147</v>
      </c>
      <c r="B6" s="6" t="s">
        <v>149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s="7" customFormat="1" ht="16.5" customHeight="1" x14ac:dyDescent="0.2">
      <c r="A7" s="19" t="s">
        <v>166</v>
      </c>
      <c r="B7" s="18" t="s">
        <v>172</v>
      </c>
      <c r="C7" s="16"/>
      <c r="D7" s="16"/>
      <c r="E7" s="16"/>
      <c r="F7" s="16"/>
    </row>
    <row r="8" spans="1:17" s="7" customFormat="1" ht="18" customHeight="1" x14ac:dyDescent="0.2">
      <c r="A8" s="19" t="s">
        <v>167</v>
      </c>
      <c r="B8" s="18" t="s">
        <v>144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s="7" customFormat="1" ht="18" customHeight="1" x14ac:dyDescent="0.2">
      <c r="A9" s="19" t="s">
        <v>168</v>
      </c>
      <c r="B9" s="18" t="s">
        <v>145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s="7" customFormat="1" ht="18" customHeight="1" x14ac:dyDescent="0.2">
      <c r="A10" s="19" t="s">
        <v>169</v>
      </c>
      <c r="B10" s="18" t="s">
        <v>132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s="7" customFormat="1" ht="18" customHeight="1" x14ac:dyDescent="0.2">
      <c r="A11" s="19" t="s">
        <v>170</v>
      </c>
      <c r="B11" s="18" t="s">
        <v>133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s="7" customFormat="1" ht="18" customHeight="1" x14ac:dyDescent="0.2">
      <c r="A12" s="19" t="s">
        <v>171</v>
      </c>
      <c r="B12" s="18" t="s">
        <v>134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s="7" customFormat="1" ht="58.5" customHeight="1" x14ac:dyDescent="0.2"/>
    <row r="14" spans="1:17" s="7" customFormat="1" ht="27" x14ac:dyDescent="0.2">
      <c r="A14" s="34" t="s">
        <v>150</v>
      </c>
      <c r="B14" s="31"/>
      <c r="C14" s="31"/>
      <c r="D14" s="31"/>
      <c r="E14" s="31"/>
      <c r="F14" s="31"/>
    </row>
    <row r="15" spans="1:17" s="7" customFormat="1" ht="20.25" x14ac:dyDescent="0.2">
      <c r="A15" s="5" t="s">
        <v>151</v>
      </c>
      <c r="B15" s="6" t="s">
        <v>149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s="7" customFormat="1" ht="18" customHeight="1" x14ac:dyDescent="0.2">
      <c r="A16" s="8" t="s">
        <v>135</v>
      </c>
      <c r="B16" s="18" t="s">
        <v>194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1:17" s="7" customFormat="1" ht="18" x14ac:dyDescent="0.2">
      <c r="A17" s="8" t="s">
        <v>136</v>
      </c>
      <c r="B17" s="18" t="s">
        <v>205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 spans="1:17" s="7" customFormat="1" ht="18" customHeight="1" x14ac:dyDescent="0.2">
      <c r="A18" s="8" t="s">
        <v>137</v>
      </c>
      <c r="B18" s="18" t="s">
        <v>195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</row>
    <row r="19" spans="1:17" s="7" customFormat="1" ht="18" customHeight="1" x14ac:dyDescent="0.2">
      <c r="A19" s="8" t="s">
        <v>138</v>
      </c>
      <c r="B19" s="18" t="s">
        <v>196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s="7" customFormat="1" ht="18" customHeight="1" x14ac:dyDescent="0.2">
      <c r="A20" s="8" t="s">
        <v>139</v>
      </c>
      <c r="B20" s="18" t="s">
        <v>197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s="7" customFormat="1" ht="18" customHeight="1" x14ac:dyDescent="0.2">
      <c r="A21" s="8" t="s">
        <v>140</v>
      </c>
      <c r="B21" s="18" t="s">
        <v>146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1:17" s="7" customFormat="1" ht="18" customHeight="1" x14ac:dyDescent="0.2">
      <c r="A22" s="8" t="s">
        <v>141</v>
      </c>
      <c r="B22" s="25" t="s">
        <v>198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1:17" s="7" customFormat="1" ht="18" customHeight="1" x14ac:dyDescent="0.2">
      <c r="A23" s="8" t="s">
        <v>142</v>
      </c>
      <c r="B23" s="18" t="s">
        <v>143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spans="1:17" s="7" customFormat="1" ht="18" customHeight="1" x14ac:dyDescent="0.2">
      <c r="A24" s="8" t="s">
        <v>190</v>
      </c>
      <c r="B24" s="24" t="s">
        <v>199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spans="1:17" s="7" customFormat="1" ht="18" customHeight="1" x14ac:dyDescent="0.2">
      <c r="A25" s="8" t="s">
        <v>193</v>
      </c>
      <c r="B25" s="24" t="s">
        <v>200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s="7" customFormat="1" ht="15" x14ac:dyDescent="0.2">
      <c r="A26" s="33" t="s">
        <v>131</v>
      </c>
      <c r="B26" s="33"/>
      <c r="C26" s="33"/>
      <c r="D26" s="33"/>
      <c r="E26" s="33"/>
      <c r="F26" s="33"/>
    </row>
  </sheetData>
  <mergeCells count="4">
    <mergeCell ref="A4:L4"/>
    <mergeCell ref="A5:F5"/>
    <mergeCell ref="A26:F26"/>
    <mergeCell ref="A14:F1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EE44-8C24-409F-B95B-366E700D4059}">
  <dimension ref="A1:K27"/>
  <sheetViews>
    <sheetView workbookViewId="0">
      <selection activeCell="H23" sqref="H23"/>
    </sheetView>
  </sheetViews>
  <sheetFormatPr defaultRowHeight="14.25" x14ac:dyDescent="0.2"/>
  <cols>
    <col min="1" max="1" width="23.5" bestFit="1" customWidth="1"/>
  </cols>
  <sheetData>
    <row r="1" spans="1:11" ht="17.25" x14ac:dyDescent="0.3">
      <c r="A1" s="1" t="s">
        <v>104</v>
      </c>
      <c r="B1" s="35" t="s">
        <v>115</v>
      </c>
      <c r="C1" s="35"/>
      <c r="D1" s="35"/>
      <c r="E1" s="35"/>
    </row>
    <row r="12" spans="1:11" x14ac:dyDescent="0.2">
      <c r="C12" t="s">
        <v>103</v>
      </c>
      <c r="D12" t="s">
        <v>116</v>
      </c>
      <c r="E12">
        <v>18.75</v>
      </c>
      <c r="G12" s="35" t="s">
        <v>107</v>
      </c>
      <c r="H12" s="35"/>
      <c r="J12" s="35"/>
      <c r="K12" s="35"/>
    </row>
    <row r="13" spans="1:11" x14ac:dyDescent="0.2">
      <c r="C13" t="s">
        <v>105</v>
      </c>
      <c r="D13" t="s">
        <v>106</v>
      </c>
      <c r="E13" t="s">
        <v>114</v>
      </c>
      <c r="G13" t="s">
        <v>113</v>
      </c>
      <c r="H13" t="s">
        <v>114</v>
      </c>
    </row>
    <row r="14" spans="1:11" x14ac:dyDescent="0.2">
      <c r="C14" s="2">
        <v>1</v>
      </c>
      <c r="D14" s="2">
        <f>ROUND((E14-2.2*C14)/0.45,0)</f>
        <v>37</v>
      </c>
      <c r="E14" s="2">
        <f>$E$12</f>
        <v>18.75</v>
      </c>
      <c r="G14" t="s">
        <v>108</v>
      </c>
      <c r="H14">
        <v>-1</v>
      </c>
    </row>
    <row r="15" spans="1:11" x14ac:dyDescent="0.2">
      <c r="C15" s="2">
        <v>2</v>
      </c>
      <c r="D15" s="2">
        <f>ROUND((E15-2.2*C15)/0.45,0)</f>
        <v>32</v>
      </c>
      <c r="E15" s="2">
        <f t="shared" ref="E15:E18" si="0">$E$12</f>
        <v>18.75</v>
      </c>
      <c r="G15" t="s">
        <v>109</v>
      </c>
      <c r="H15">
        <v>1.5</v>
      </c>
    </row>
    <row r="16" spans="1:11" x14ac:dyDescent="0.2">
      <c r="C16" s="2">
        <v>3</v>
      </c>
      <c r="D16" s="2">
        <f t="shared" ref="D16:D18" si="1">ROUND((E14-2.2*C16)/0.45,0)</f>
        <v>27</v>
      </c>
      <c r="E16" s="2">
        <f t="shared" si="0"/>
        <v>18.75</v>
      </c>
      <c r="G16" t="s">
        <v>110</v>
      </c>
      <c r="H16">
        <v>0</v>
      </c>
    </row>
    <row r="17" spans="3:8" x14ac:dyDescent="0.2">
      <c r="C17" s="2">
        <v>4</v>
      </c>
      <c r="D17" s="2">
        <f t="shared" si="1"/>
        <v>22</v>
      </c>
      <c r="E17" s="2">
        <f t="shared" si="0"/>
        <v>18.75</v>
      </c>
      <c r="G17" t="s">
        <v>111</v>
      </c>
      <c r="H17">
        <v>1.5</v>
      </c>
    </row>
    <row r="18" spans="3:8" x14ac:dyDescent="0.2">
      <c r="C18" s="2">
        <v>5</v>
      </c>
      <c r="D18" s="2">
        <f t="shared" si="1"/>
        <v>17</v>
      </c>
      <c r="E18" s="2">
        <f t="shared" si="0"/>
        <v>18.75</v>
      </c>
      <c r="G18" t="s">
        <v>112</v>
      </c>
      <c r="H18">
        <v>1</v>
      </c>
    </row>
    <row r="19" spans="3:8" x14ac:dyDescent="0.2">
      <c r="C19" s="2"/>
      <c r="D19" s="2"/>
      <c r="E19" s="2"/>
    </row>
    <row r="20" spans="3:8" x14ac:dyDescent="0.2">
      <c r="C20" s="2"/>
      <c r="D20" s="2"/>
      <c r="E20" s="2"/>
    </row>
    <row r="21" spans="3:8" x14ac:dyDescent="0.2">
      <c r="C21" s="2"/>
      <c r="D21" s="2"/>
      <c r="E21" s="2"/>
    </row>
    <row r="22" spans="3:8" x14ac:dyDescent="0.2">
      <c r="C22" s="2"/>
      <c r="D22" s="2"/>
      <c r="E22" s="2"/>
    </row>
    <row r="23" spans="3:8" x14ac:dyDescent="0.2">
      <c r="C23" s="2"/>
      <c r="D23" s="2"/>
      <c r="E23" s="2"/>
    </row>
    <row r="24" spans="3:8" x14ac:dyDescent="0.2">
      <c r="C24" s="2"/>
      <c r="D24" s="2"/>
      <c r="E24" s="2"/>
    </row>
    <row r="25" spans="3:8" x14ac:dyDescent="0.2">
      <c r="C25" s="2"/>
      <c r="D25" s="2"/>
      <c r="E25" s="2"/>
    </row>
    <row r="26" spans="3:8" x14ac:dyDescent="0.2">
      <c r="C26" s="2"/>
      <c r="D26" s="2"/>
      <c r="E26" s="2"/>
    </row>
    <row r="27" spans="3:8" x14ac:dyDescent="0.2">
      <c r="C27" s="2"/>
      <c r="D27" s="2"/>
      <c r="E27" s="2"/>
    </row>
  </sheetData>
  <mergeCells count="3">
    <mergeCell ref="B1:E1"/>
    <mergeCell ref="G12:H12"/>
    <mergeCell ref="J12:K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角色列表</vt:lpstr>
      <vt:lpstr>新角色畅想</vt:lpstr>
      <vt:lpstr>数据统计</vt:lpstr>
      <vt:lpstr>词条解释</vt:lpstr>
      <vt:lpstr>平衡调整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杨俊涛</dc:creator>
  <cp:lastModifiedBy>俊涛 杨</cp:lastModifiedBy>
  <dcterms:created xsi:type="dcterms:W3CDTF">2015-06-05T18:19:34Z</dcterms:created>
  <dcterms:modified xsi:type="dcterms:W3CDTF">2026-09-26T04:53:03Z</dcterms:modified>
</cp:coreProperties>
</file>