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ame creating\战旗\"/>
    </mc:Choice>
  </mc:AlternateContent>
  <xr:revisionPtr revIDLastSave="0" documentId="13_ncr:1_{BF78BA97-2466-4BEC-960D-2FE60875231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角色列表" sheetId="1" r:id="rId1"/>
    <sheet name="平衡调整" sheetId="2" r:id="rId2"/>
  </sheets>
  <definedNames>
    <definedName name="_xlnm._FilterDatabase" localSheetId="0" hidden="1">角色列表!$A$1:$S$1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4" i="1" l="1"/>
  <c r="O37" i="1"/>
  <c r="O23" i="1"/>
  <c r="O17" i="1"/>
  <c r="O15" i="1"/>
  <c r="O9" i="1"/>
  <c r="O7" i="1"/>
  <c r="O48" i="1"/>
  <c r="O47" i="1"/>
  <c r="O46" i="1"/>
  <c r="O45" i="1"/>
  <c r="O43" i="1"/>
  <c r="O42" i="1"/>
  <c r="O41" i="1"/>
  <c r="O40" i="1"/>
  <c r="O39" i="1"/>
  <c r="O38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2" i="1"/>
  <c r="O21" i="1"/>
  <c r="O20" i="1"/>
  <c r="O19" i="1"/>
  <c r="O18" i="1"/>
  <c r="O16" i="1"/>
  <c r="O14" i="1"/>
  <c r="O13" i="1"/>
  <c r="O12" i="1"/>
  <c r="O11" i="1"/>
  <c r="O10" i="1"/>
  <c r="O8" i="1"/>
  <c r="O6" i="1"/>
  <c r="O5" i="1"/>
  <c r="O3" i="1"/>
  <c r="O2" i="1"/>
  <c r="O4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" i="1"/>
  <c r="M3" i="1"/>
  <c r="L2" i="1"/>
  <c r="D15" i="2"/>
  <c r="D14" i="2"/>
  <c r="D18" i="2"/>
  <c r="E18" i="2"/>
  <c r="E17" i="2"/>
  <c r="E16" i="2"/>
  <c r="E15" i="2"/>
  <c r="E14" i="2"/>
  <c r="D16" i="2"/>
  <c r="Q48" i="1" l="1"/>
  <c r="Q9" i="1"/>
  <c r="Q6" i="1"/>
  <c r="Q18" i="1"/>
  <c r="Q42" i="1"/>
  <c r="Q21" i="1"/>
  <c r="Q13" i="1"/>
  <c r="Q25" i="1"/>
  <c r="Q37" i="1"/>
  <c r="Q14" i="1"/>
  <c r="Q26" i="1"/>
  <c r="Q38" i="1"/>
  <c r="Q3" i="1"/>
  <c r="Q15" i="1"/>
  <c r="Q27" i="1"/>
  <c r="Q4" i="1"/>
  <c r="Q16" i="1"/>
  <c r="Q40" i="1"/>
  <c r="Q5" i="1"/>
  <c r="Q17" i="1"/>
  <c r="Q41" i="1"/>
  <c r="Q2" i="1"/>
  <c r="Q7" i="1"/>
  <c r="Q19" i="1"/>
  <c r="Q43" i="1"/>
  <c r="Q8" i="1"/>
  <c r="Q20" i="1"/>
  <c r="Q44" i="1"/>
  <c r="Q10" i="1"/>
  <c r="Q22" i="1"/>
  <c r="Q11" i="1"/>
  <c r="Q23" i="1"/>
  <c r="Q12" i="1"/>
  <c r="Q28" i="1"/>
  <c r="Q29" i="1"/>
  <c r="Q30" i="1"/>
  <c r="Q31" i="1"/>
  <c r="Q32" i="1"/>
  <c r="Q45" i="1"/>
  <c r="Q33" i="1"/>
  <c r="Q46" i="1"/>
  <c r="Q47" i="1"/>
  <c r="Q35" i="1"/>
  <c r="Q24" i="1"/>
  <c r="Q36" i="1"/>
  <c r="Q39" i="1"/>
  <c r="Q34" i="1"/>
  <c r="D17" i="2"/>
</calcChain>
</file>

<file path=xl/sharedStrings.xml><?xml version="1.0" encoding="utf-8"?>
<sst xmlns="http://schemas.openxmlformats.org/spreadsheetml/2006/main" count="279" uniqueCount="199">
  <si>
    <t>No.</t>
  </si>
  <si>
    <t>等级</t>
  </si>
  <si>
    <t>名称</t>
  </si>
  <si>
    <t>攻击力</t>
  </si>
  <si>
    <t>HP</t>
  </si>
  <si>
    <t>特性</t>
  </si>
  <si>
    <t>技能</t>
  </si>
  <si>
    <t>配合</t>
  </si>
  <si>
    <t>克制</t>
  </si>
  <si>
    <t>被克制</t>
  </si>
  <si>
    <t>协同英雄</t>
  </si>
  <si>
    <t>白</t>
  </si>
  <si>
    <t>伐木工</t>
  </si>
  <si>
    <t>攻击障碍物时额外减少99耐久。</t>
  </si>
  <si>
    <t>无</t>
  </si>
  <si>
    <t>圣诞老人</t>
  </si>
  <si>
    <t>&lt;疾行&gt;</t>
  </si>
  <si>
    <t>己方回合开始时，在战场中的空地随机放置两个随机的增益道具。</t>
  </si>
  <si>
    <t>对攻击力收益大的角色，比如多倍伤害，AOE等</t>
  </si>
  <si>
    <t>毒蛇淑女</t>
  </si>
  <si>
    <t>攻击后，目标获得[猛毒]。</t>
  </si>
  <si>
    <t>鼠队长</t>
  </si>
  <si>
    <t>傀儡师</t>
  </si>
  <si>
    <t>&lt;远程&gt;</t>
  </si>
  <si>
    <t>己方回合开始时，令所有敌人向随机方向移动一格（按照登场顺序依次移动，没有移动位置的跳过）。</t>
  </si>
  <si>
    <t>需要敌人位移的角色，比如死神，烛火，炸弹人</t>
  </si>
  <si>
    <t>医护兵</t>
  </si>
  <si>
    <t>移动后，随机治疗相邻的队友中HP最低的角色之一。</t>
  </si>
  <si>
    <t>能提供攻击力加成的角色，最好搭配一个坦克</t>
  </si>
  <si>
    <t>影丸</t>
  </si>
  <si>
    <t>最好搭配一个坦克</t>
  </si>
  <si>
    <t>德鲁伊</t>
  </si>
  <si>
    <t>己方回合结束时，治疗所有其他队友（回复量=自己当前的攻击力）。</t>
  </si>
  <si>
    <t>能提供攻击力加成的角色</t>
  </si>
  <si>
    <t>火枪手</t>
  </si>
  <si>
    <t>白游侠</t>
  </si>
  <si>
    <t>远程攻击时一并伤害与目标相邻的敌人，并使它们获得[冰冻]。</t>
  </si>
  <si>
    <t>塔盾</t>
  </si>
  <si>
    <t>&lt;嘲讽&gt;</t>
  </si>
  <si>
    <t>每当相邻队友受到多于1点的伤害时，你代替承受其中1点。</t>
  </si>
  <si>
    <t>巨剑</t>
  </si>
  <si>
    <t>攻击后，目标获得[重伤]。</t>
  </si>
  <si>
    <t>死灵法师</t>
  </si>
  <si>
    <t>独脚龟</t>
  </si>
  <si>
    <t>金</t>
  </si>
  <si>
    <t>古拉博士</t>
  </si>
  <si>
    <t>攻击时，如果目标的HP大于自己，则治疗自己攻击数值血量。</t>
  </si>
  <si>
    <t>最好搭配一个坦克，能提供攻击力加成的角色</t>
  </si>
  <si>
    <t>小阴影</t>
  </si>
  <si>
    <t>攻击时，若目标是全场HP最低的角色或之一，则造成2倍伤害。</t>
  </si>
  <si>
    <t>波盾</t>
  </si>
  <si>
    <t>&lt;替补&gt;</t>
  </si>
  <si>
    <t>令己方所有角色获得[圣盾]。</t>
  </si>
  <si>
    <t>烛火</t>
  </si>
  <si>
    <t>&lt;疾行&gt;&lt;后勤&gt;</t>
  </si>
  <si>
    <t>移动后，伤害所有相邻的敌人。</t>
  </si>
  <si>
    <t>长剑</t>
  </si>
  <si>
    <t>攻击敌人时，一并伤害目标身后直线上的所有敌人。</t>
  </si>
  <si>
    <t>烈焰祭司</t>
  </si>
  <si>
    <t>己方回合开始时，所有其他队友攻击力+1，直到回合结束。</t>
  </si>
  <si>
    <t>需要攻击力加成的角色</t>
  </si>
  <si>
    <t>赏金猎人</t>
  </si>
  <si>
    <t>远程攻击时，如果目标有&lt;嘲讽&gt;，则造成2倍伤害。 &lt;远程&gt;</t>
  </si>
  <si>
    <t>嘲讽</t>
  </si>
  <si>
    <t>超新星</t>
  </si>
  <si>
    <t>远程攻击时，将与目标相邻的所有敌人击退1格。如果其后方有阻挡不能被击退，则伤害之。</t>
  </si>
  <si>
    <t>需要敌人位移的角色</t>
  </si>
  <si>
    <t>圣光</t>
  </si>
  <si>
    <t>每回合限一次，一名己方角色受伤后，其获得[圣盾]。</t>
  </si>
  <si>
    <t>复仇者</t>
  </si>
  <si>
    <t>反击次数无限，反击时造成2倍伤害。</t>
  </si>
  <si>
    <t>大骑士</t>
  </si>
  <si>
    <t>你的移动改为沿直线方向冲锋任意距离。然后你的攻击力上升等量于本次移动距离的值，直到回合结束。</t>
  </si>
  <si>
    <t>风语者</t>
  </si>
  <si>
    <t>战锤</t>
  </si>
  <si>
    <t>攻击后令目标[麻痹][冰冻]，直到回合结束。</t>
  </si>
  <si>
    <t>毒蛇</t>
  </si>
  <si>
    <t>雪拳</t>
  </si>
  <si>
    <t>移动后，令相邻敌人获得[冰冻]。</t>
  </si>
  <si>
    <t>紫</t>
  </si>
  <si>
    <t>暗域</t>
  </si>
  <si>
    <t>&lt;疾行&gt; &lt;渗透&gt;</t>
  </si>
  <si>
    <t>攻击时，和对象交换位置。</t>
  </si>
  <si>
    <t>嬉皮死神</t>
  </si>
  <si>
    <t>古灵精怪</t>
  </si>
  <si>
    <t>对方回合结束时，随机变为己方队伍中的一名其他角色（可以和上场角色重复，可以是已经退场角色），暂时获得其所有技能直到下次变化为止。</t>
  </si>
  <si>
    <t>太阳斩</t>
  </si>
  <si>
    <t>攻击力+3。每次攻击或反击后攻击力-1，直到恢复正常攻击力。</t>
  </si>
  <si>
    <t>攻击时，如果目标没有与其他敌人相邻，则造成2倍伤害。</t>
  </si>
  <si>
    <t>末日</t>
  </si>
  <si>
    <t>&lt;后勤&gt;</t>
  </si>
  <si>
    <t>移动后，伤害所有HP小于你的角色（优先伤害敌人）。</t>
  </si>
  <si>
    <t>长角</t>
  </si>
  <si>
    <t>攻击时，将目标击退1格。如果其后方有阻挡不能被击退，则造成2倍伤害。</t>
  </si>
  <si>
    <t>己方回合开始时，随机在相邻的位置召唤2个骷髅兵（召唤位置可以有增益道具，不能有障碍物或墓碑。位置不足则少召或不招）。</t>
  </si>
  <si>
    <t>烈焰祭祀</t>
  </si>
  <si>
    <t>沉默术士</t>
  </si>
  <si>
    <t>远程攻击后，目标获得[沉默]。</t>
  </si>
  <si>
    <t>炸弹人</t>
  </si>
  <si>
    <t>移动后，正前方（面对敌方底线方向）如果是空地，则放置一颗炸弹。炸弹人以外的角色如果停留在该格就会引爆，受到5点伤害。</t>
  </si>
  <si>
    <t>梅林</t>
  </si>
  <si>
    <t>随机令HP最低的队友之一回复8点HP，然后与其交换位置。</t>
  </si>
  <si>
    <t>虹</t>
  </si>
  <si>
    <t>锤头鲨</t>
  </si>
  <si>
    <t>每当敌人受到一次伤害（AOE算一次），你的攻击力+1，直到回合结束。</t>
  </si>
  <si>
    <t>涌电技师</t>
  </si>
  <si>
    <t>移动后，攻击力+1，然后随机伤害HP最低的敌人之一，然后伤害自己。</t>
  </si>
  <si>
    <t>猎颅者</t>
  </si>
  <si>
    <t>随机伤害HP最低的敌人之一，并令其获得[眩晕]。</t>
  </si>
  <si>
    <t>红帽</t>
  </si>
  <si>
    <t>死亡时，对相邻的所有单位（含己方队友）造成13点伤害。强退时不触发。</t>
  </si>
  <si>
    <t>血锁</t>
  </si>
  <si>
    <t>己方回合内，你的射程+2，但只能沿直线攻击（仍视为近战攻击）。攻击时，将敌人拉到面前一格。</t>
  </si>
  <si>
    <t>黄金矿工</t>
  </si>
  <si>
    <t>己方回合开始时，在战场中的空地随机发现一枚金块。黄金矿工可以拾取金块，每拾得一枚金块，攻击力+1，HP上限和HP+3。金矿每完整回合减1，只存在3回合后消失。</t>
  </si>
  <si>
    <t>所有其他队友获得&lt;疾行&gt;，且移动后回复等同于本次移动距离的HP。</t>
  </si>
  <si>
    <t>负墟</t>
  </si>
  <si>
    <t>所有负面效果对其无效，每受到一次负面效果攻击，攻击力+1，持续到我方回合结束。</t>
  </si>
  <si>
    <t>能施加异常状态的英雄</t>
  </si>
  <si>
    <t>坠炮手</t>
  </si>
  <si>
    <t>可攻击全场的任意目标，弹道无视障碍/单位/墓碑阻挡与嘲讽（被贴身时仍受远程限制）。</t>
  </si>
  <si>
    <t>害怕被贴身</t>
  </si>
  <si>
    <t>宿魂</t>
  </si>
  <si>
    <t>&lt;渗透&gt;</t>
  </si>
  <si>
    <t>攻击后，令敌人获得[附体]。</t>
  </si>
  <si>
    <t>共鸣者</t>
  </si>
  <si>
    <t>我方回合开始时，攻击力增加所有队友攻击力之和，直到我方回合结束。</t>
  </si>
  <si>
    <t>—</t>
  </si>
  <si>
    <t>衍生物</t>
  </si>
  <si>
    <t>骷髅兵</t>
  </si>
  <si>
    <t>回合结束时消失。</t>
  </si>
  <si>
    <t>白板模板</t>
    <phoneticPr fontId="1" type="noConversion"/>
  </si>
  <si>
    <r>
      <rPr>
        <sz val="12"/>
        <color theme="1"/>
        <rFont val="微软雅黑"/>
        <family val="2"/>
        <charset val="134"/>
      </rPr>
      <t>单体价值</t>
    </r>
    <r>
      <rPr>
        <sz val="12"/>
        <color theme="1"/>
        <rFont val="Segoe UI"/>
        <family val="2"/>
      </rPr>
      <t xml:space="preserve"> S = </t>
    </r>
    <phoneticPr fontId="1" type="noConversion"/>
  </si>
  <si>
    <t>攻击</t>
    <phoneticPr fontId="1" type="noConversion"/>
  </si>
  <si>
    <t>血量</t>
    <phoneticPr fontId="1" type="noConversion"/>
  </si>
  <si>
    <t>特性影响</t>
    <phoneticPr fontId="1" type="noConversion"/>
  </si>
  <si>
    <t>嘲讽</t>
    <phoneticPr fontId="1" type="noConversion"/>
  </si>
  <si>
    <t>疾行</t>
    <phoneticPr fontId="1" type="noConversion"/>
  </si>
  <si>
    <t>替补</t>
    <phoneticPr fontId="1" type="noConversion"/>
  </si>
  <si>
    <t>渗透</t>
    <phoneticPr fontId="1" type="noConversion"/>
  </si>
  <si>
    <t>后勤</t>
    <phoneticPr fontId="1" type="noConversion"/>
  </si>
  <si>
    <t>特性</t>
    <phoneticPr fontId="1" type="noConversion"/>
  </si>
  <si>
    <t>评分</t>
    <phoneticPr fontId="1" type="noConversion"/>
  </si>
  <si>
    <t>攻×2.2 + HP×0.45+特性评分+技能评分</t>
    <phoneticPr fontId="1" type="noConversion"/>
  </si>
  <si>
    <t>基数</t>
    <phoneticPr fontId="1" type="noConversion"/>
  </si>
  <si>
    <r>
      <rPr>
        <b/>
        <sz val="12"/>
        <color rgb="FF333333"/>
        <rFont val="等线"/>
        <family val="2"/>
      </rPr>
      <t>属性评分</t>
    </r>
    <phoneticPr fontId="1" type="noConversion"/>
  </si>
  <si>
    <r>
      <rPr>
        <b/>
        <sz val="12"/>
        <color rgb="FF333333"/>
        <rFont val="等线"/>
        <family val="2"/>
      </rPr>
      <t>特性评分</t>
    </r>
    <phoneticPr fontId="1" type="noConversion"/>
  </si>
  <si>
    <r>
      <rPr>
        <b/>
        <sz val="12"/>
        <color rgb="FF333333"/>
        <rFont val="等线"/>
        <family val="2"/>
      </rPr>
      <t>技能评分</t>
    </r>
    <phoneticPr fontId="1" type="noConversion"/>
  </si>
  <si>
    <r>
      <rPr>
        <b/>
        <sz val="12"/>
        <color rgb="FF333333"/>
        <rFont val="等线"/>
        <family val="2"/>
      </rPr>
      <t>总评分</t>
    </r>
    <phoneticPr fontId="1" type="noConversion"/>
  </si>
  <si>
    <t>技能量化</t>
    <phoneticPr fontId="1" type="noConversion"/>
  </si>
  <si>
    <t>1点血量，技能评分+0.45</t>
    <phoneticPr fontId="1" type="noConversion"/>
  </si>
  <si>
    <t>一点伤害，技能评分+2.2</t>
    <phoneticPr fontId="1" type="noConversion"/>
  </si>
  <si>
    <t>补强</t>
    <phoneticPr fontId="1" type="noConversion"/>
  </si>
  <si>
    <t>技能评分+补强&gt;3的非替补角色</t>
    <phoneticPr fontId="1" type="noConversion"/>
  </si>
  <si>
    <t>面板攻击力可以大于4的</t>
    <phoneticPr fontId="1" type="noConversion"/>
  </si>
  <si>
    <t>能麻痹的英雄</t>
    <phoneticPr fontId="1" type="noConversion"/>
  </si>
  <si>
    <t>能提供攻击力加成的角色
能使敌人位移的角色</t>
    <phoneticPr fontId="1" type="noConversion"/>
  </si>
  <si>
    <t>能使敌人位移的角色</t>
    <phoneticPr fontId="1" type="noConversion"/>
  </si>
  <si>
    <t>需搭配坦克</t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</si>
  <si>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替补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疾行</t>
    </r>
    <r>
      <rPr>
        <sz val="12"/>
        <color rgb="FF333333"/>
        <rFont val="Arial"/>
        <family val="2"/>
      </rPr>
      <t>&gt;</t>
    </r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</si>
  <si>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疾行</t>
    </r>
    <r>
      <rPr>
        <sz val="12"/>
        <color rgb="FF333333"/>
        <rFont val="Arial"/>
        <family val="2"/>
      </rPr>
      <t>&gt;</t>
    </r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</si>
  <si>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远程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疾行</t>
    </r>
    <r>
      <rPr>
        <sz val="12"/>
        <color rgb="FF333333"/>
        <rFont val="Arial"/>
        <family val="2"/>
      </rPr>
      <t>&gt;</t>
    </r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</si>
  <si>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替补</t>
    </r>
    <r>
      <rPr>
        <sz val="12"/>
        <color rgb="FF333333"/>
        <rFont val="Arial"/>
        <family val="2"/>
      </rPr>
      <t>&gt;</t>
    </r>
    <phoneticPr fontId="1" type="noConversion"/>
  </si>
  <si>
    <t>圣光</t>
    <phoneticPr fontId="1" type="noConversion"/>
  </si>
  <si>
    <t>没有特殊注明的所有角色的移动力都是2，射程都是1。</t>
  </si>
  <si>
    <t>同类标记效果均不叠加。</t>
  </si>
  <si>
    <r>
      <t>&lt;</t>
    </r>
    <r>
      <rPr>
        <b/>
        <sz val="10"/>
        <color rgb="FF333333"/>
        <rFont val="微软雅黑"/>
        <family val="2"/>
        <charset val="134"/>
      </rPr>
      <t>远程</t>
    </r>
    <r>
      <rPr>
        <b/>
        <sz val="10"/>
        <color rgb="FF333333"/>
        <rFont val="Arial"/>
        <family val="2"/>
      </rPr>
      <t>&gt;</t>
    </r>
    <phoneticPr fontId="1" type="noConversion"/>
  </si>
  <si>
    <r>
      <t>这个角色没有敌人相邻的话，射程</t>
    </r>
    <r>
      <rPr>
        <b/>
        <sz val="10"/>
        <color rgb="FF333333"/>
        <rFont val="Arial"/>
        <family val="2"/>
      </rPr>
      <t>+1</t>
    </r>
    <r>
      <rPr>
        <b/>
        <sz val="10"/>
        <color rgb="FF333333"/>
        <rFont val="宋体"/>
        <family val="3"/>
        <charset val="134"/>
      </rPr>
      <t>；有敌人相邻的话，基础攻击力变为</t>
    </r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宋体"/>
        <family val="3"/>
        <charset val="134"/>
      </rPr>
      <t>。</t>
    </r>
    <phoneticPr fontId="1" type="noConversion"/>
  </si>
  <si>
    <r>
      <t>&lt;</t>
    </r>
    <r>
      <rPr>
        <b/>
        <sz val="12"/>
        <color rgb="FF333333"/>
        <rFont val="微软雅黑"/>
        <family val="2"/>
        <charset val="134"/>
      </rPr>
      <t>嘲讽</t>
    </r>
    <r>
      <rPr>
        <b/>
        <sz val="12"/>
        <color rgb="FF333333"/>
        <rFont val="Arial"/>
        <family val="2"/>
      </rPr>
      <t>&gt;</t>
    </r>
    <phoneticPr fontId="1" type="noConversion"/>
  </si>
  <si>
    <r>
      <t>&lt;</t>
    </r>
    <r>
      <rPr>
        <b/>
        <sz val="12"/>
        <color rgb="FF333333"/>
        <rFont val="微软雅黑"/>
        <family val="2"/>
        <charset val="134"/>
      </rPr>
      <t>替补</t>
    </r>
    <r>
      <rPr>
        <b/>
        <sz val="12"/>
        <color rgb="FF333333"/>
        <rFont val="Arial"/>
        <family val="2"/>
      </rPr>
      <t>&gt;</t>
    </r>
    <phoneticPr fontId="1" type="noConversion"/>
  </si>
  <si>
    <t>这个角色替补登场的时候，触发技能效果</t>
    <phoneticPr fontId="1" type="noConversion"/>
  </si>
  <si>
    <r>
      <t>&lt;</t>
    </r>
    <r>
      <rPr>
        <b/>
        <sz val="12"/>
        <color rgb="FF333333"/>
        <rFont val="微软雅黑"/>
        <family val="2"/>
        <charset val="134"/>
      </rPr>
      <t>后勤</t>
    </r>
    <r>
      <rPr>
        <b/>
        <sz val="12"/>
        <color rgb="FF333333"/>
        <rFont val="Arial"/>
        <family val="2"/>
      </rPr>
      <t>&gt;</t>
    </r>
    <phoneticPr fontId="1" type="noConversion"/>
  </si>
  <si>
    <t>这个角色不能主动攻击。可以反击。</t>
    <phoneticPr fontId="1" type="noConversion"/>
  </si>
  <si>
    <r>
      <t>&lt;</t>
    </r>
    <r>
      <rPr>
        <b/>
        <sz val="12"/>
        <color rgb="FF333333"/>
        <rFont val="微软雅黑"/>
        <family val="2"/>
        <charset val="134"/>
      </rPr>
      <t>渗透</t>
    </r>
    <r>
      <rPr>
        <b/>
        <sz val="12"/>
        <color rgb="FF333333"/>
        <rFont val="Arial"/>
        <family val="2"/>
      </rPr>
      <t>&gt;</t>
    </r>
    <phoneticPr fontId="1" type="noConversion"/>
  </si>
  <si>
    <t>这个角色移动时可穿透角色和障碍物，不能停留。</t>
    <phoneticPr fontId="1" type="noConversion"/>
  </si>
  <si>
    <r>
      <t>&lt;</t>
    </r>
    <r>
      <rPr>
        <b/>
        <sz val="12"/>
        <color rgb="FF333333"/>
        <rFont val="微软雅黑"/>
        <family val="2"/>
        <charset val="134"/>
      </rPr>
      <t>疾行</t>
    </r>
    <r>
      <rPr>
        <b/>
        <sz val="12"/>
        <color rgb="FF333333"/>
        <rFont val="Arial"/>
        <family val="2"/>
      </rPr>
      <t>&gt;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</si>
  <si>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重伤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</si>
  <si>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麻痹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</si>
  <si>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冰冻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</si>
  <si>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沉默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</si>
  <si>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眩晕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</si>
  <si>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猛毒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</si>
  <si>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附体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</si>
  <si>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圣盾</t>
    </r>
    <r>
      <rPr>
        <b/>
        <sz val="12"/>
        <color rgb="FF333333"/>
        <rFont val="Arial"/>
        <family val="2"/>
      </rPr>
      <t>]</t>
    </r>
    <phoneticPr fontId="1" type="noConversion"/>
  </si>
  <si>
    <t>防止一次受到的伤害，生效时解除。</t>
    <phoneticPr fontId="1" type="noConversion"/>
  </si>
  <si>
    <t>与施加者伤害绑定。施加者受到伤害时，目标受到同等伤害。对方（目标方）回合结束时解除。</t>
    <phoneticPr fontId="1" type="noConversion"/>
  </si>
  <si>
    <t>不能移动、攻击、反击和触发非关键词技能，己方回合结束时解除。</t>
    <phoneticPr fontId="1" type="noConversion"/>
  </si>
  <si>
    <r>
      <rPr>
        <sz val="12"/>
        <color rgb="FF333333"/>
        <rFont val="微软雅黑"/>
        <family val="2"/>
        <charset val="134"/>
      </rPr>
      <t>一名角色攻击时，攻击范围内有任何对方角色拥有</t>
    </r>
    <r>
      <rPr>
        <sz val="12"/>
        <color rgb="FF333333"/>
        <rFont val="Arial"/>
        <family val="2"/>
      </rP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</t>
    </r>
    <r>
      <rPr>
        <sz val="12"/>
        <color rgb="FF333333"/>
        <rFont val="微软雅黑"/>
        <family val="2"/>
        <charset val="134"/>
      </rPr>
      <t>的话，只能从拥有</t>
    </r>
    <r>
      <rPr>
        <sz val="12"/>
        <color rgb="FF333333"/>
        <rFont val="Arial"/>
        <family val="2"/>
      </rP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</t>
    </r>
    <r>
      <rPr>
        <sz val="12"/>
        <color rgb="FF333333"/>
        <rFont val="微软雅黑"/>
        <family val="2"/>
        <charset val="134"/>
      </rPr>
      <t>的对象中选择攻击目标。</t>
    </r>
    <phoneticPr fontId="1" type="noConversion"/>
  </si>
  <si>
    <r>
      <rPr>
        <sz val="12"/>
        <color rgb="FF333333"/>
        <rFont val="微软雅黑"/>
        <family val="2"/>
        <charset val="134"/>
      </rPr>
      <t>这个角色移动力</t>
    </r>
    <r>
      <rPr>
        <sz val="12"/>
        <color rgb="FF333333"/>
        <rFont val="Arial"/>
        <family val="2"/>
      </rPr>
      <t>+1</t>
    </r>
    <r>
      <rPr>
        <sz val="12"/>
        <color rgb="FF333333"/>
        <rFont val="微软雅黑"/>
        <family val="2"/>
        <charset val="134"/>
      </rPr>
      <t>。</t>
    </r>
    <phoneticPr fontId="1" type="noConversion"/>
  </si>
  <si>
    <r>
      <rPr>
        <sz val="12"/>
        <color rgb="FF333333"/>
        <rFont val="微软雅黑"/>
        <family val="2"/>
        <charset val="134"/>
      </rPr>
      <t>受到的伤害</t>
    </r>
    <r>
      <rPr>
        <sz val="12"/>
        <color rgb="FF333333"/>
        <rFont val="Arial"/>
        <family val="2"/>
      </rPr>
      <t>+1</t>
    </r>
    <r>
      <rPr>
        <sz val="12"/>
        <color rgb="FF333333"/>
        <rFont val="微软雅黑"/>
        <family val="2"/>
        <charset val="134"/>
      </rPr>
      <t>。己方回合结束时解除。</t>
    </r>
    <phoneticPr fontId="1" type="noConversion"/>
  </si>
  <si>
    <r>
      <rPr>
        <sz val="12"/>
        <color rgb="FF333333"/>
        <rFont val="微软雅黑"/>
        <family val="2"/>
        <charset val="134"/>
      </rPr>
      <t>攻击力</t>
    </r>
    <r>
      <rPr>
        <sz val="12"/>
        <color rgb="FF333333"/>
        <rFont val="Arial"/>
        <family val="2"/>
      </rPr>
      <t>-1</t>
    </r>
    <r>
      <rPr>
        <sz val="12"/>
        <color rgb="FF333333"/>
        <rFont val="宋体"/>
        <family val="3"/>
        <charset val="134"/>
      </rPr>
      <t>（至少为</t>
    </r>
    <r>
      <rPr>
        <sz val="12"/>
        <color rgb="FF333333"/>
        <rFont val="Arial"/>
        <family val="2"/>
      </rPr>
      <t>0</t>
    </r>
    <r>
      <rPr>
        <sz val="12"/>
        <color rgb="FF333333"/>
        <rFont val="宋体"/>
        <family val="3"/>
        <charset val="134"/>
      </rPr>
      <t>）。己方回合结束时解除。</t>
    </r>
    <phoneticPr fontId="1" type="noConversion"/>
  </si>
  <si>
    <r>
      <rPr>
        <sz val="12"/>
        <color rgb="FF333333"/>
        <rFont val="微软雅黑"/>
        <family val="2"/>
        <charset val="134"/>
      </rPr>
      <t>移动力</t>
    </r>
    <r>
      <rPr>
        <sz val="12"/>
        <color rgb="FF333333"/>
        <rFont val="Arial"/>
        <family val="2"/>
        <charset val="134"/>
      </rPr>
      <t>-1</t>
    </r>
    <r>
      <rPr>
        <sz val="12"/>
        <color rgb="FF333333"/>
        <rFont val="微软雅黑"/>
        <family val="2"/>
        <charset val="134"/>
      </rPr>
      <t>（至少为</t>
    </r>
    <r>
      <rPr>
        <sz val="12"/>
        <color rgb="FF333333"/>
        <rFont val="Arial"/>
        <family val="2"/>
        <charset val="134"/>
      </rPr>
      <t>0</t>
    </r>
    <r>
      <rPr>
        <sz val="12"/>
        <color rgb="FF333333"/>
        <rFont val="微软雅黑"/>
        <family val="2"/>
        <charset val="134"/>
      </rPr>
      <t>）。己方回合结束时解除。</t>
    </r>
    <phoneticPr fontId="1" type="noConversion"/>
  </si>
  <si>
    <r>
      <rPr>
        <sz val="12"/>
        <color rgb="FF333333"/>
        <rFont val="微软雅黑"/>
        <family val="2"/>
        <charset val="134"/>
      </rPr>
      <t>不能触发非关键词技能，己方回合结束时解除。（有</t>
    </r>
    <r>
      <rPr>
        <sz val="12"/>
        <color rgb="FF333333"/>
        <rFont val="Arial"/>
        <family val="2"/>
        <charset val="134"/>
      </rPr>
      <t>&lt;&gt;</t>
    </r>
    <r>
      <rPr>
        <sz val="12"/>
        <color rgb="FF333333"/>
        <rFont val="微软雅黑"/>
        <family val="2"/>
        <charset val="134"/>
      </rPr>
      <t>的为关键词技能）</t>
    </r>
    <phoneticPr fontId="1" type="noConversion"/>
  </si>
  <si>
    <r>
      <rPr>
        <sz val="12"/>
        <color rgb="FF333333"/>
        <rFont val="微软雅黑"/>
        <family val="2"/>
        <charset val="134"/>
      </rPr>
      <t>每个回合开始时受到</t>
    </r>
    <r>
      <rPr>
        <sz val="12"/>
        <color rgb="FF333333"/>
        <rFont val="Arial"/>
        <family val="2"/>
        <charset val="134"/>
      </rPr>
      <t>1</t>
    </r>
    <r>
      <rPr>
        <sz val="12"/>
        <color rgb="FF333333"/>
        <rFont val="微软雅黑"/>
        <family val="2"/>
        <charset val="134"/>
      </rPr>
      <t>点伤害。无法解除。</t>
    </r>
    <phoneticPr fontId="1" type="noConversion"/>
  </si>
  <si>
    <t>特性</t>
    <phoneticPr fontId="1" type="noConversion"/>
  </si>
  <si>
    <r>
      <t>&lt;</t>
    </r>
    <r>
      <rPr>
        <b/>
        <sz val="19.25"/>
        <color rgb="FF333333"/>
        <rFont val="微软雅黑"/>
        <family val="2"/>
        <charset val="134"/>
      </rPr>
      <t>特性</t>
    </r>
    <r>
      <rPr>
        <b/>
        <sz val="19.25"/>
        <color rgb="FF333333"/>
        <rFont val="Arial"/>
        <family val="2"/>
      </rPr>
      <t>&gt;</t>
    </r>
    <phoneticPr fontId="1" type="noConversion"/>
  </si>
  <si>
    <t>效果</t>
    <phoneticPr fontId="1" type="noConversion"/>
  </si>
  <si>
    <t>[状态]</t>
    <phoneticPr fontId="1" type="noConversion"/>
  </si>
  <si>
    <t>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</si>
</sst>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12"/>
      <color theme="1"/>
      <name val="Segoe UI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Segoe UI"/>
      <family val="2"/>
    </font>
    <font>
      <b/>
      <sz val="12"/>
      <color rgb="FF333333"/>
      <name val="等线"/>
      <family val="2"/>
    </font>
    <font>
      <b/>
      <sz val="12"/>
      <color rgb="FF333333"/>
      <name val="宋体"/>
      <family val="2"/>
      <charset val="134"/>
    </font>
    <font>
      <sz val="12"/>
      <color rgb="FF333333"/>
      <name val="微软雅黑"/>
      <family val="2"/>
      <charset val="134"/>
    </font>
    <font>
      <sz val="12"/>
      <color rgb="FF333333"/>
      <name val="宋体"/>
      <family val="2"/>
      <charset val="134"/>
    </font>
    <font>
      <b/>
      <sz val="19.25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12"/>
      <color rgb="FF333333"/>
      <name val="宋体"/>
      <family val="3"/>
      <charset val="134"/>
    </font>
    <font>
      <b/>
      <sz val="10"/>
      <color rgb="FF333333"/>
      <name val="微软雅黑"/>
      <family val="2"/>
      <charset val="134"/>
    </font>
    <font>
      <b/>
      <sz val="12"/>
      <color rgb="FF333333"/>
      <name val="微软雅黑"/>
      <family val="2"/>
      <charset val="134"/>
    </font>
    <font>
      <sz val="12"/>
      <color rgb="FF333333"/>
      <name val="Arial"/>
      <family val="2"/>
      <charset val="134"/>
    </font>
    <font>
      <b/>
      <sz val="19.25"/>
      <color rgb="FF333333"/>
      <name val="微软雅黑"/>
      <family val="2"/>
      <charset val="134"/>
    </font>
    <font>
      <b/>
      <sz val="16"/>
      <color rgb="FF333333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11" fillId="0" borderId="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vertical="center" wrapText="1"/>
    </xf>
    <xf numFmtId="0" fontId="1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zoomScale="115" zoomScaleNormal="115" workbookViewId="0">
      <selection activeCell="N7" sqref="N7"/>
    </sheetView>
  </sheetViews>
  <sheetFormatPr defaultRowHeight="14.25" x14ac:dyDescent="0.2"/>
  <cols>
    <col min="1" max="1" width="8" bestFit="1" customWidth="1"/>
    <col min="3" max="3" width="9.75" bestFit="1" customWidth="1"/>
    <col min="7" max="7" width="32.25" customWidth="1"/>
    <col min="8" max="8" width="18.25" bestFit="1" customWidth="1"/>
    <col min="13" max="13" width="9" style="2"/>
    <col min="14" max="14" width="10.5" style="2" customWidth="1"/>
  </cols>
  <sheetData>
    <row r="1" spans="1:17" ht="15.7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145</v>
      </c>
      <c r="M1" s="5" t="s">
        <v>146</v>
      </c>
      <c r="N1" s="6" t="s">
        <v>149</v>
      </c>
      <c r="O1" s="5" t="s">
        <v>147</v>
      </c>
      <c r="P1" s="6" t="s">
        <v>152</v>
      </c>
      <c r="Q1" s="5" t="s">
        <v>148</v>
      </c>
    </row>
    <row r="2" spans="1:17" ht="15" x14ac:dyDescent="0.2">
      <c r="A2" s="7">
        <v>1</v>
      </c>
      <c r="B2" s="7" t="s">
        <v>11</v>
      </c>
      <c r="C2" s="7" t="s">
        <v>12</v>
      </c>
      <c r="D2" s="7">
        <v>3</v>
      </c>
      <c r="E2" s="7">
        <v>27</v>
      </c>
      <c r="F2" s="7"/>
      <c r="G2" s="7" t="s">
        <v>13</v>
      </c>
      <c r="H2" s="7" t="s">
        <v>14</v>
      </c>
      <c r="I2" s="7"/>
      <c r="J2" s="7"/>
      <c r="K2" s="7"/>
      <c r="L2" s="3">
        <f t="shared" ref="L2:L49" si="0">D2*2.2+E2*0.45</f>
        <v>18.75</v>
      </c>
      <c r="M2" s="4">
        <f t="shared" ref="M2:M49" si="1">SUM(IF(ISNUMBER(SEARCH("疾行",F2)),1.5,0), IF(ISNUMBER(SEARCH("渗透",F2)),1.5,0))</f>
        <v>0</v>
      </c>
      <c r="N2" s="4">
        <v>0</v>
      </c>
      <c r="O2" s="3">
        <f>N2*2.2</f>
        <v>0</v>
      </c>
      <c r="P2" s="3"/>
      <c r="Q2" s="8">
        <f t="shared" ref="Q2:Q48" si="2">L2+M2+O2+P2</f>
        <v>18.75</v>
      </c>
    </row>
    <row r="3" spans="1:17" ht="45" x14ac:dyDescent="0.2">
      <c r="A3" s="9">
        <v>2</v>
      </c>
      <c r="B3" s="9" t="s">
        <v>11</v>
      </c>
      <c r="C3" s="9" t="s">
        <v>15</v>
      </c>
      <c r="D3" s="9">
        <v>2</v>
      </c>
      <c r="E3" s="9">
        <v>24</v>
      </c>
      <c r="F3" s="9" t="s">
        <v>16</v>
      </c>
      <c r="G3" s="9" t="s">
        <v>17</v>
      </c>
      <c r="H3" s="9" t="s">
        <v>18</v>
      </c>
      <c r="I3" s="9"/>
      <c r="J3" s="9"/>
      <c r="K3" s="9"/>
      <c r="L3" s="3">
        <f t="shared" si="0"/>
        <v>15.200000000000001</v>
      </c>
      <c r="M3" s="4">
        <f t="shared" si="1"/>
        <v>1.5</v>
      </c>
      <c r="N3" s="4">
        <v>1</v>
      </c>
      <c r="O3" s="3">
        <f>N3*2.2</f>
        <v>2.2000000000000002</v>
      </c>
      <c r="P3" s="3"/>
      <c r="Q3" s="8">
        <f t="shared" si="2"/>
        <v>18.900000000000002</v>
      </c>
    </row>
    <row r="4" spans="1:17" ht="34.5" x14ac:dyDescent="0.2">
      <c r="A4" s="7">
        <v>3</v>
      </c>
      <c r="B4" s="7" t="s">
        <v>11</v>
      </c>
      <c r="C4" s="7" t="s">
        <v>19</v>
      </c>
      <c r="D4" s="7">
        <v>1</v>
      </c>
      <c r="E4" s="7">
        <v>21</v>
      </c>
      <c r="F4" s="7"/>
      <c r="G4" s="7" t="s">
        <v>20</v>
      </c>
      <c r="H4" s="7"/>
      <c r="I4" s="10" t="s">
        <v>163</v>
      </c>
      <c r="J4" s="11" t="s">
        <v>155</v>
      </c>
      <c r="K4" s="7"/>
      <c r="L4" s="3">
        <f t="shared" si="0"/>
        <v>11.650000000000002</v>
      </c>
      <c r="M4" s="4">
        <f t="shared" si="1"/>
        <v>0</v>
      </c>
      <c r="N4" s="4">
        <v>3</v>
      </c>
      <c r="O4" s="3">
        <f>N4*2.2</f>
        <v>6.6000000000000005</v>
      </c>
      <c r="P4" s="3"/>
      <c r="Q4" s="8">
        <f t="shared" si="2"/>
        <v>18.250000000000004</v>
      </c>
    </row>
    <row r="5" spans="1:17" ht="15" x14ac:dyDescent="0.2">
      <c r="A5" s="9">
        <v>4</v>
      </c>
      <c r="B5" s="9" t="s">
        <v>11</v>
      </c>
      <c r="C5" s="9" t="s">
        <v>21</v>
      </c>
      <c r="D5" s="9">
        <v>4</v>
      </c>
      <c r="E5" s="9">
        <v>18</v>
      </c>
      <c r="F5" s="9" t="s">
        <v>16</v>
      </c>
      <c r="G5" s="9"/>
      <c r="H5" s="9"/>
      <c r="I5" s="9"/>
      <c r="J5" s="9"/>
      <c r="K5" s="9"/>
      <c r="L5" s="3">
        <f t="shared" si="0"/>
        <v>16.899999999999999</v>
      </c>
      <c r="M5" s="4">
        <f t="shared" si="1"/>
        <v>1.5</v>
      </c>
      <c r="N5" s="4">
        <v>0</v>
      </c>
      <c r="O5" s="3">
        <f>N5*2.2</f>
        <v>0</v>
      </c>
      <c r="P5" s="3"/>
      <c r="Q5" s="8">
        <f t="shared" si="2"/>
        <v>18.399999999999999</v>
      </c>
    </row>
    <row r="6" spans="1:17" ht="60" x14ac:dyDescent="0.2">
      <c r="A6" s="7">
        <v>5</v>
      </c>
      <c r="B6" s="7" t="s">
        <v>11</v>
      </c>
      <c r="C6" s="7" t="s">
        <v>22</v>
      </c>
      <c r="D6" s="7">
        <v>3</v>
      </c>
      <c r="E6" s="7">
        <v>19</v>
      </c>
      <c r="F6" s="7" t="s">
        <v>23</v>
      </c>
      <c r="G6" s="7" t="s">
        <v>24</v>
      </c>
      <c r="H6" s="7" t="s">
        <v>25</v>
      </c>
      <c r="I6" s="7"/>
      <c r="J6" s="7"/>
      <c r="K6" s="7"/>
      <c r="L6" s="3">
        <f t="shared" si="0"/>
        <v>15.150000000000002</v>
      </c>
      <c r="M6" s="4">
        <f t="shared" si="1"/>
        <v>0</v>
      </c>
      <c r="N6" s="4">
        <v>1</v>
      </c>
      <c r="O6" s="3">
        <f>N6*2.2</f>
        <v>2.2000000000000002</v>
      </c>
      <c r="P6" s="3"/>
      <c r="Q6" s="8">
        <f t="shared" si="2"/>
        <v>17.350000000000001</v>
      </c>
    </row>
    <row r="7" spans="1:17" ht="45" x14ac:dyDescent="0.2">
      <c r="A7" s="9">
        <v>6</v>
      </c>
      <c r="B7" s="9" t="s">
        <v>11</v>
      </c>
      <c r="C7" s="9" t="s">
        <v>26</v>
      </c>
      <c r="D7" s="9">
        <v>3</v>
      </c>
      <c r="E7" s="9">
        <v>16</v>
      </c>
      <c r="F7" s="9" t="s">
        <v>161</v>
      </c>
      <c r="G7" s="9" t="s">
        <v>27</v>
      </c>
      <c r="H7" s="9" t="s">
        <v>28</v>
      </c>
      <c r="I7" s="9"/>
      <c r="J7" s="9"/>
      <c r="K7" s="9"/>
      <c r="L7" s="3">
        <f t="shared" si="0"/>
        <v>13.8</v>
      </c>
      <c r="M7" s="4">
        <f t="shared" si="1"/>
        <v>1.5</v>
      </c>
      <c r="N7" s="4">
        <v>3</v>
      </c>
      <c r="O7" s="3">
        <f>N7*0.45</f>
        <v>1.35</v>
      </c>
      <c r="P7" s="3"/>
      <c r="Q7" s="8">
        <f t="shared" si="2"/>
        <v>16.650000000000002</v>
      </c>
    </row>
    <row r="8" spans="1:17" ht="34.5" x14ac:dyDescent="0.2">
      <c r="A8" s="7">
        <v>7</v>
      </c>
      <c r="B8" s="7" t="s">
        <v>11</v>
      </c>
      <c r="C8" s="7" t="s">
        <v>29</v>
      </c>
      <c r="D8" s="7">
        <v>5</v>
      </c>
      <c r="E8" s="7">
        <v>14</v>
      </c>
      <c r="F8" s="7" t="s">
        <v>161</v>
      </c>
      <c r="G8" s="7"/>
      <c r="H8" s="7" t="s">
        <v>30</v>
      </c>
      <c r="I8" s="7"/>
      <c r="J8" s="7"/>
      <c r="K8" s="7"/>
      <c r="L8" s="3">
        <f t="shared" si="0"/>
        <v>17.3</v>
      </c>
      <c r="M8" s="4">
        <f t="shared" si="1"/>
        <v>1.5</v>
      </c>
      <c r="N8" s="4"/>
      <c r="O8" s="3">
        <f>N8*2.2</f>
        <v>0</v>
      </c>
      <c r="P8" s="3"/>
      <c r="Q8" s="8">
        <f t="shared" si="2"/>
        <v>18.8</v>
      </c>
    </row>
    <row r="9" spans="1:17" ht="45" x14ac:dyDescent="0.2">
      <c r="A9" s="9">
        <v>8</v>
      </c>
      <c r="B9" s="9" t="s">
        <v>11</v>
      </c>
      <c r="C9" s="9" t="s">
        <v>31</v>
      </c>
      <c r="D9" s="9">
        <v>2</v>
      </c>
      <c r="E9" s="9">
        <v>17</v>
      </c>
      <c r="F9" s="9" t="s">
        <v>23</v>
      </c>
      <c r="G9" s="9" t="s">
        <v>32</v>
      </c>
      <c r="H9" s="9" t="s">
        <v>33</v>
      </c>
      <c r="I9" s="9"/>
      <c r="J9" s="9"/>
      <c r="K9" s="9"/>
      <c r="L9" s="3">
        <f t="shared" si="0"/>
        <v>12.05</v>
      </c>
      <c r="M9" s="4">
        <f t="shared" si="1"/>
        <v>0</v>
      </c>
      <c r="N9" s="4">
        <v>4</v>
      </c>
      <c r="O9" s="3">
        <f>N9*0.45</f>
        <v>1.8</v>
      </c>
      <c r="P9" s="3"/>
      <c r="Q9" s="8">
        <f t="shared" si="2"/>
        <v>13.850000000000001</v>
      </c>
    </row>
    <row r="10" spans="1:17" ht="15" x14ac:dyDescent="0.2">
      <c r="A10" s="7">
        <v>9</v>
      </c>
      <c r="B10" s="7" t="s">
        <v>11</v>
      </c>
      <c r="C10" s="7" t="s">
        <v>34</v>
      </c>
      <c r="D10" s="7">
        <v>4</v>
      </c>
      <c r="E10" s="7">
        <v>20</v>
      </c>
      <c r="F10" s="7" t="s">
        <v>23</v>
      </c>
      <c r="G10" s="7"/>
      <c r="H10" s="7"/>
      <c r="I10" s="7"/>
      <c r="J10" s="7"/>
      <c r="K10" s="7"/>
      <c r="L10" s="3">
        <f t="shared" si="0"/>
        <v>17.8</v>
      </c>
      <c r="M10" s="4">
        <f t="shared" si="1"/>
        <v>0</v>
      </c>
      <c r="N10" s="4"/>
      <c r="O10" s="3">
        <f>N10*2.2</f>
        <v>0</v>
      </c>
      <c r="P10" s="3"/>
      <c r="Q10" s="8">
        <f t="shared" si="2"/>
        <v>17.8</v>
      </c>
    </row>
    <row r="11" spans="1:17" ht="34.5" x14ac:dyDescent="0.2">
      <c r="A11" s="9">
        <v>10</v>
      </c>
      <c r="B11" s="9" t="s">
        <v>11</v>
      </c>
      <c r="C11" s="9" t="s">
        <v>35</v>
      </c>
      <c r="D11" s="9">
        <v>2</v>
      </c>
      <c r="E11" s="9">
        <v>19</v>
      </c>
      <c r="F11" s="9" t="s">
        <v>161</v>
      </c>
      <c r="G11" s="9" t="s">
        <v>36</v>
      </c>
      <c r="H11" s="9" t="s">
        <v>33</v>
      </c>
      <c r="I11" s="9"/>
      <c r="J11" s="9"/>
      <c r="K11" s="9"/>
      <c r="L11" s="3">
        <f t="shared" si="0"/>
        <v>12.950000000000001</v>
      </c>
      <c r="M11" s="4">
        <f t="shared" si="1"/>
        <v>1.5</v>
      </c>
      <c r="N11" s="4">
        <v>2</v>
      </c>
      <c r="O11" s="3">
        <f>N11*2.2</f>
        <v>4.4000000000000004</v>
      </c>
      <c r="P11" s="3"/>
      <c r="Q11" s="8">
        <f t="shared" si="2"/>
        <v>18.850000000000001</v>
      </c>
    </row>
    <row r="12" spans="1:17" ht="30" x14ac:dyDescent="0.2">
      <c r="A12" s="7">
        <v>11</v>
      </c>
      <c r="B12" s="7" t="s">
        <v>11</v>
      </c>
      <c r="C12" s="7" t="s">
        <v>37</v>
      </c>
      <c r="D12" s="7">
        <v>1</v>
      </c>
      <c r="E12" s="7">
        <v>40</v>
      </c>
      <c r="F12" s="7" t="s">
        <v>38</v>
      </c>
      <c r="G12" s="7" t="s">
        <v>39</v>
      </c>
      <c r="H12" s="7"/>
      <c r="I12" s="7"/>
      <c r="J12" s="7"/>
      <c r="K12" s="7"/>
      <c r="L12" s="3">
        <f t="shared" si="0"/>
        <v>20.2</v>
      </c>
      <c r="M12" s="4">
        <f t="shared" si="1"/>
        <v>0</v>
      </c>
      <c r="N12" s="4">
        <v>0</v>
      </c>
      <c r="O12" s="3">
        <f>N12*2.2</f>
        <v>0</v>
      </c>
      <c r="P12" s="3"/>
      <c r="Q12" s="8">
        <f t="shared" si="2"/>
        <v>20.2</v>
      </c>
    </row>
    <row r="13" spans="1:17" ht="15" x14ac:dyDescent="0.2">
      <c r="A13" s="9">
        <v>12</v>
      </c>
      <c r="B13" s="9" t="s">
        <v>11</v>
      </c>
      <c r="C13" s="9" t="s">
        <v>40</v>
      </c>
      <c r="D13" s="9">
        <v>2</v>
      </c>
      <c r="E13" s="9">
        <v>24</v>
      </c>
      <c r="F13" s="9" t="s">
        <v>38</v>
      </c>
      <c r="G13" s="9" t="s">
        <v>41</v>
      </c>
      <c r="H13" s="9"/>
      <c r="I13" s="9"/>
      <c r="J13" s="9"/>
      <c r="K13" s="9"/>
      <c r="L13" s="3">
        <f t="shared" si="0"/>
        <v>15.200000000000001</v>
      </c>
      <c r="M13" s="4">
        <f t="shared" si="1"/>
        <v>0</v>
      </c>
      <c r="N13" s="4">
        <v>2</v>
      </c>
      <c r="O13" s="3">
        <f>N13*2.2</f>
        <v>4.4000000000000004</v>
      </c>
      <c r="P13" s="3"/>
      <c r="Q13" s="8">
        <f t="shared" si="2"/>
        <v>19.600000000000001</v>
      </c>
    </row>
    <row r="14" spans="1:17" ht="15" x14ac:dyDescent="0.2">
      <c r="A14" s="7">
        <v>13</v>
      </c>
      <c r="B14" s="7" t="s">
        <v>11</v>
      </c>
      <c r="C14" s="7" t="s">
        <v>43</v>
      </c>
      <c r="D14" s="7">
        <v>2</v>
      </c>
      <c r="E14" s="7">
        <v>33</v>
      </c>
      <c r="F14" s="7" t="s">
        <v>38</v>
      </c>
      <c r="G14" s="7"/>
      <c r="H14" s="7"/>
      <c r="I14" s="7"/>
      <c r="J14" s="7"/>
      <c r="K14" s="7"/>
      <c r="L14" s="3">
        <f t="shared" si="0"/>
        <v>19.25</v>
      </c>
      <c r="M14" s="4">
        <f t="shared" si="1"/>
        <v>0</v>
      </c>
      <c r="N14" s="4">
        <v>0</v>
      </c>
      <c r="O14" s="3">
        <f>N14*2.2</f>
        <v>0</v>
      </c>
      <c r="P14" s="3"/>
      <c r="Q14" s="8">
        <f t="shared" si="2"/>
        <v>19.25</v>
      </c>
    </row>
    <row r="15" spans="1:17" ht="45" x14ac:dyDescent="0.2">
      <c r="A15" s="9">
        <v>14</v>
      </c>
      <c r="B15" s="9" t="s">
        <v>44</v>
      </c>
      <c r="C15" s="9" t="s">
        <v>45</v>
      </c>
      <c r="D15" s="9">
        <v>4</v>
      </c>
      <c r="E15" s="9">
        <v>15</v>
      </c>
      <c r="F15" s="9"/>
      <c r="G15" s="9" t="s">
        <v>46</v>
      </c>
      <c r="H15" s="9" t="s">
        <v>47</v>
      </c>
      <c r="I15" s="9"/>
      <c r="J15" s="9"/>
      <c r="K15" s="9"/>
      <c r="L15" s="3">
        <f t="shared" si="0"/>
        <v>15.55</v>
      </c>
      <c r="M15" s="4">
        <f t="shared" si="1"/>
        <v>0</v>
      </c>
      <c r="N15" s="4">
        <v>4</v>
      </c>
      <c r="O15" s="3">
        <f>N15*0.45</f>
        <v>1.8</v>
      </c>
      <c r="P15" s="3"/>
      <c r="Q15" s="8">
        <f t="shared" si="2"/>
        <v>17.350000000000001</v>
      </c>
    </row>
    <row r="16" spans="1:17" ht="30" x14ac:dyDescent="0.2">
      <c r="A16" s="7">
        <v>15</v>
      </c>
      <c r="B16" s="7" t="s">
        <v>44</v>
      </c>
      <c r="C16" s="7" t="s">
        <v>48</v>
      </c>
      <c r="D16" s="7">
        <v>3</v>
      </c>
      <c r="E16" s="7">
        <v>18</v>
      </c>
      <c r="F16" s="7" t="s">
        <v>16</v>
      </c>
      <c r="G16" s="7" t="s">
        <v>49</v>
      </c>
      <c r="H16" s="7" t="s">
        <v>33</v>
      </c>
      <c r="I16" s="7"/>
      <c r="J16" s="7"/>
      <c r="K16" s="7"/>
      <c r="L16" s="3">
        <f t="shared" si="0"/>
        <v>14.7</v>
      </c>
      <c r="M16" s="4">
        <f t="shared" si="1"/>
        <v>1.5</v>
      </c>
      <c r="N16" s="4">
        <v>1.5</v>
      </c>
      <c r="O16" s="3">
        <f>N16*2.2</f>
        <v>3.3000000000000003</v>
      </c>
      <c r="P16" s="3"/>
      <c r="Q16" s="8">
        <f t="shared" si="2"/>
        <v>19.5</v>
      </c>
    </row>
    <row r="17" spans="1:17" ht="15" x14ac:dyDescent="0.2">
      <c r="A17" s="9">
        <v>16</v>
      </c>
      <c r="B17" s="9" t="s">
        <v>44</v>
      </c>
      <c r="C17" s="9" t="s">
        <v>50</v>
      </c>
      <c r="D17" s="9">
        <v>4</v>
      </c>
      <c r="E17" s="9">
        <v>16</v>
      </c>
      <c r="F17" s="9" t="s">
        <v>51</v>
      </c>
      <c r="G17" s="9" t="s">
        <v>52</v>
      </c>
      <c r="H17" s="9"/>
      <c r="I17" s="9"/>
      <c r="J17" s="9"/>
      <c r="K17" s="9"/>
      <c r="L17" s="3">
        <f t="shared" si="0"/>
        <v>16</v>
      </c>
      <c r="M17" s="4">
        <f t="shared" si="1"/>
        <v>0</v>
      </c>
      <c r="N17" s="4">
        <v>6</v>
      </c>
      <c r="O17" s="3">
        <f>N17*0.45</f>
        <v>2.7</v>
      </c>
      <c r="P17" s="3"/>
      <c r="Q17" s="8">
        <f t="shared" si="2"/>
        <v>18.7</v>
      </c>
    </row>
    <row r="18" spans="1:17" ht="45" x14ac:dyDescent="0.2">
      <c r="A18" s="7">
        <v>17</v>
      </c>
      <c r="B18" s="7" t="s">
        <v>44</v>
      </c>
      <c r="C18" s="7" t="s">
        <v>53</v>
      </c>
      <c r="D18" s="7">
        <v>3</v>
      </c>
      <c r="E18" s="7">
        <v>17</v>
      </c>
      <c r="F18" s="7" t="s">
        <v>54</v>
      </c>
      <c r="G18" s="7" t="s">
        <v>55</v>
      </c>
      <c r="H18" s="7" t="s">
        <v>33</v>
      </c>
      <c r="I18" s="7"/>
      <c r="J18" s="7"/>
      <c r="K18" s="7"/>
      <c r="L18" s="3">
        <f t="shared" si="0"/>
        <v>14.25</v>
      </c>
      <c r="M18" s="4">
        <f t="shared" si="1"/>
        <v>1.5</v>
      </c>
      <c r="N18" s="4">
        <v>2</v>
      </c>
      <c r="O18" s="3">
        <f>N18*2.2</f>
        <v>4.4000000000000004</v>
      </c>
      <c r="P18" s="3"/>
      <c r="Q18" s="8">
        <f t="shared" si="2"/>
        <v>20.149999999999999</v>
      </c>
    </row>
    <row r="19" spans="1:17" ht="30" x14ac:dyDescent="0.2">
      <c r="A19" s="9">
        <v>18</v>
      </c>
      <c r="B19" s="9" t="s">
        <v>44</v>
      </c>
      <c r="C19" s="9" t="s">
        <v>56</v>
      </c>
      <c r="D19" s="9">
        <v>3</v>
      </c>
      <c r="E19" s="9">
        <v>18</v>
      </c>
      <c r="F19" s="9" t="s">
        <v>16</v>
      </c>
      <c r="G19" s="9" t="s">
        <v>57</v>
      </c>
      <c r="H19" s="9" t="s">
        <v>33</v>
      </c>
      <c r="I19" s="9"/>
      <c r="J19" s="9"/>
      <c r="K19" s="9"/>
      <c r="L19" s="3">
        <f t="shared" si="0"/>
        <v>14.7</v>
      </c>
      <c r="M19" s="4">
        <f t="shared" si="1"/>
        <v>1.5</v>
      </c>
      <c r="N19" s="4">
        <v>2</v>
      </c>
      <c r="O19" s="3">
        <f>N19*2.2</f>
        <v>4.4000000000000004</v>
      </c>
      <c r="P19" s="3"/>
      <c r="Q19" s="8">
        <f t="shared" si="2"/>
        <v>20.6</v>
      </c>
    </row>
    <row r="20" spans="1:17" ht="30" x14ac:dyDescent="0.2">
      <c r="A20" s="7">
        <v>19</v>
      </c>
      <c r="B20" s="7" t="s">
        <v>44</v>
      </c>
      <c r="C20" s="7" t="s">
        <v>58</v>
      </c>
      <c r="D20" s="7">
        <v>1</v>
      </c>
      <c r="E20" s="7">
        <v>18</v>
      </c>
      <c r="F20" s="7" t="s">
        <v>23</v>
      </c>
      <c r="G20" s="7" t="s">
        <v>59</v>
      </c>
      <c r="H20" s="7" t="s">
        <v>60</v>
      </c>
      <c r="I20" s="7"/>
      <c r="J20" s="7"/>
      <c r="K20" s="7"/>
      <c r="L20" s="3">
        <f t="shared" si="0"/>
        <v>10.3</v>
      </c>
      <c r="M20" s="4">
        <f t="shared" si="1"/>
        <v>0</v>
      </c>
      <c r="N20" s="4">
        <v>3</v>
      </c>
      <c r="O20" s="3">
        <f>N20*2.2</f>
        <v>6.6000000000000005</v>
      </c>
      <c r="P20" s="3"/>
      <c r="Q20" s="8">
        <f t="shared" si="2"/>
        <v>16.900000000000002</v>
      </c>
    </row>
    <row r="21" spans="1:17" ht="30" x14ac:dyDescent="0.2">
      <c r="A21" s="9">
        <v>20</v>
      </c>
      <c r="B21" s="9" t="s">
        <v>44</v>
      </c>
      <c r="C21" s="9" t="s">
        <v>61</v>
      </c>
      <c r="D21" s="9">
        <v>3</v>
      </c>
      <c r="E21" s="9">
        <v>19</v>
      </c>
      <c r="F21" s="9"/>
      <c r="G21" s="9" t="s">
        <v>62</v>
      </c>
      <c r="H21" s="9" t="s">
        <v>33</v>
      </c>
      <c r="I21" s="9" t="s">
        <v>63</v>
      </c>
      <c r="J21" s="9"/>
      <c r="K21" s="9"/>
      <c r="L21" s="3">
        <f t="shared" si="0"/>
        <v>15.150000000000002</v>
      </c>
      <c r="M21" s="4">
        <f t="shared" si="1"/>
        <v>0</v>
      </c>
      <c r="N21" s="4">
        <v>2</v>
      </c>
      <c r="O21" s="3">
        <f>N21*2.2</f>
        <v>4.4000000000000004</v>
      </c>
      <c r="P21" s="3"/>
      <c r="Q21" s="8">
        <f t="shared" si="2"/>
        <v>19.550000000000004</v>
      </c>
    </row>
    <row r="22" spans="1:17" ht="45" x14ac:dyDescent="0.2">
      <c r="A22" s="7">
        <v>21</v>
      </c>
      <c r="B22" s="7" t="s">
        <v>44</v>
      </c>
      <c r="C22" s="7" t="s">
        <v>64</v>
      </c>
      <c r="D22" s="7">
        <v>3</v>
      </c>
      <c r="E22" s="7">
        <v>19</v>
      </c>
      <c r="F22" s="7" t="s">
        <v>23</v>
      </c>
      <c r="G22" s="7" t="s">
        <v>65</v>
      </c>
      <c r="H22" s="7" t="s">
        <v>66</v>
      </c>
      <c r="I22" s="7"/>
      <c r="J22" s="7"/>
      <c r="K22" s="7"/>
      <c r="L22" s="3">
        <f t="shared" si="0"/>
        <v>15.150000000000002</v>
      </c>
      <c r="M22" s="4">
        <f t="shared" si="1"/>
        <v>0</v>
      </c>
      <c r="N22" s="4">
        <v>1.5</v>
      </c>
      <c r="O22" s="3">
        <f>N22*2.2</f>
        <v>3.3000000000000003</v>
      </c>
      <c r="P22" s="3"/>
      <c r="Q22" s="8">
        <f t="shared" si="2"/>
        <v>18.450000000000003</v>
      </c>
    </row>
    <row r="23" spans="1:17" ht="30" x14ac:dyDescent="0.2">
      <c r="A23" s="9">
        <v>22</v>
      </c>
      <c r="B23" s="9" t="s">
        <v>44</v>
      </c>
      <c r="C23" s="9" t="s">
        <v>67</v>
      </c>
      <c r="D23" s="9">
        <v>2</v>
      </c>
      <c r="E23" s="9">
        <v>18</v>
      </c>
      <c r="F23" s="9" t="s">
        <v>38</v>
      </c>
      <c r="G23" s="9" t="s">
        <v>68</v>
      </c>
      <c r="H23" s="9"/>
      <c r="I23" s="9"/>
      <c r="J23" s="9"/>
      <c r="K23" s="9"/>
      <c r="L23" s="3">
        <f t="shared" si="0"/>
        <v>12.5</v>
      </c>
      <c r="M23" s="4">
        <f t="shared" si="1"/>
        <v>0</v>
      </c>
      <c r="N23" s="4">
        <v>3</v>
      </c>
      <c r="O23" s="3">
        <f>N23*0.45</f>
        <v>1.35</v>
      </c>
      <c r="P23" s="3">
        <v>8</v>
      </c>
      <c r="Q23" s="8">
        <f t="shared" si="2"/>
        <v>21.85</v>
      </c>
    </row>
    <row r="24" spans="1:17" ht="30" x14ac:dyDescent="0.2">
      <c r="A24" s="7">
        <v>23</v>
      </c>
      <c r="B24" s="7" t="s">
        <v>44</v>
      </c>
      <c r="C24" s="7" t="s">
        <v>69</v>
      </c>
      <c r="D24" s="7">
        <v>2</v>
      </c>
      <c r="E24" s="7">
        <v>26</v>
      </c>
      <c r="F24" s="7" t="s">
        <v>38</v>
      </c>
      <c r="G24" s="7" t="s">
        <v>70</v>
      </c>
      <c r="H24" s="7"/>
      <c r="I24" s="7"/>
      <c r="J24" s="7"/>
      <c r="K24" s="7"/>
      <c r="L24" s="3">
        <f t="shared" si="0"/>
        <v>16.100000000000001</v>
      </c>
      <c r="M24" s="4">
        <f t="shared" si="1"/>
        <v>0</v>
      </c>
      <c r="N24" s="4">
        <v>2</v>
      </c>
      <c r="O24" s="3">
        <f t="shared" ref="O24:O36" si="3">N24*2.2</f>
        <v>4.4000000000000004</v>
      </c>
      <c r="P24" s="3"/>
      <c r="Q24" s="8">
        <f t="shared" si="2"/>
        <v>20.5</v>
      </c>
    </row>
    <row r="25" spans="1:17" ht="60" x14ac:dyDescent="0.2">
      <c r="A25" s="9">
        <v>24</v>
      </c>
      <c r="B25" s="9" t="s">
        <v>44</v>
      </c>
      <c r="C25" s="9" t="s">
        <v>71</v>
      </c>
      <c r="D25" s="9">
        <v>2</v>
      </c>
      <c r="E25" s="9">
        <v>21</v>
      </c>
      <c r="F25" s="9" t="s">
        <v>38</v>
      </c>
      <c r="G25" s="9" t="s">
        <v>72</v>
      </c>
      <c r="H25" s="9"/>
      <c r="I25" s="9"/>
      <c r="J25" s="9"/>
      <c r="K25" s="9"/>
      <c r="L25" s="3">
        <f t="shared" si="0"/>
        <v>13.850000000000001</v>
      </c>
      <c r="M25" s="4">
        <f t="shared" si="1"/>
        <v>0</v>
      </c>
      <c r="N25" s="4">
        <v>2</v>
      </c>
      <c r="O25" s="3">
        <f t="shared" si="3"/>
        <v>4.4000000000000004</v>
      </c>
      <c r="P25" s="3"/>
      <c r="Q25" s="8">
        <f t="shared" si="2"/>
        <v>18.25</v>
      </c>
    </row>
    <row r="26" spans="1:17" ht="30" x14ac:dyDescent="0.2">
      <c r="A26" s="7">
        <v>25</v>
      </c>
      <c r="B26" s="7" t="s">
        <v>44</v>
      </c>
      <c r="C26" s="7" t="s">
        <v>74</v>
      </c>
      <c r="D26" s="7">
        <v>2</v>
      </c>
      <c r="E26" s="7">
        <v>24</v>
      </c>
      <c r="F26" s="7" t="s">
        <v>38</v>
      </c>
      <c r="G26" s="7" t="s">
        <v>75</v>
      </c>
      <c r="H26" s="7"/>
      <c r="I26" s="7" t="s">
        <v>76</v>
      </c>
      <c r="J26" s="7"/>
      <c r="K26" s="7"/>
      <c r="L26" s="3">
        <f t="shared" si="0"/>
        <v>15.200000000000001</v>
      </c>
      <c r="M26" s="4">
        <f t="shared" si="1"/>
        <v>0</v>
      </c>
      <c r="N26" s="4">
        <v>2</v>
      </c>
      <c r="O26" s="3">
        <f t="shared" si="3"/>
        <v>4.4000000000000004</v>
      </c>
      <c r="P26" s="3"/>
      <c r="Q26" s="8">
        <f t="shared" si="2"/>
        <v>19.600000000000001</v>
      </c>
    </row>
    <row r="27" spans="1:17" ht="34.5" x14ac:dyDescent="0.2">
      <c r="A27" s="9">
        <v>26</v>
      </c>
      <c r="B27" s="9" t="s">
        <v>44</v>
      </c>
      <c r="C27" s="9" t="s">
        <v>77</v>
      </c>
      <c r="D27" s="9">
        <v>2</v>
      </c>
      <c r="E27" s="9">
        <v>26</v>
      </c>
      <c r="F27" s="9" t="s">
        <v>160</v>
      </c>
      <c r="G27" s="9" t="s">
        <v>78</v>
      </c>
      <c r="H27" s="9"/>
      <c r="I27" s="9"/>
      <c r="J27" s="9"/>
      <c r="K27" s="9"/>
      <c r="L27" s="3">
        <f t="shared" si="0"/>
        <v>16.100000000000001</v>
      </c>
      <c r="M27" s="4">
        <f t="shared" si="1"/>
        <v>1.5</v>
      </c>
      <c r="N27" s="4">
        <v>1</v>
      </c>
      <c r="O27" s="3">
        <f t="shared" si="3"/>
        <v>2.2000000000000002</v>
      </c>
      <c r="P27" s="3"/>
      <c r="Q27" s="8">
        <f t="shared" si="2"/>
        <v>19.8</v>
      </c>
    </row>
    <row r="28" spans="1:17" ht="30" x14ac:dyDescent="0.2">
      <c r="A28" s="7">
        <v>27</v>
      </c>
      <c r="B28" s="7" t="s">
        <v>79</v>
      </c>
      <c r="C28" s="7" t="s">
        <v>80</v>
      </c>
      <c r="D28" s="7">
        <v>3</v>
      </c>
      <c r="E28" s="7">
        <v>20</v>
      </c>
      <c r="F28" s="7" t="s">
        <v>81</v>
      </c>
      <c r="G28" s="7" t="s">
        <v>82</v>
      </c>
      <c r="H28" s="7" t="s">
        <v>66</v>
      </c>
      <c r="I28" s="7"/>
      <c r="J28" s="7"/>
      <c r="K28" s="7"/>
      <c r="L28" s="3">
        <f t="shared" si="0"/>
        <v>15.600000000000001</v>
      </c>
      <c r="M28" s="4">
        <f t="shared" si="1"/>
        <v>3</v>
      </c>
      <c r="N28" s="4">
        <v>1.5</v>
      </c>
      <c r="O28" s="3">
        <f t="shared" si="3"/>
        <v>3.3000000000000003</v>
      </c>
      <c r="P28" s="3"/>
      <c r="Q28" s="8">
        <f t="shared" si="2"/>
        <v>21.900000000000002</v>
      </c>
    </row>
    <row r="29" spans="1:17" ht="75" x14ac:dyDescent="0.2">
      <c r="A29" s="9">
        <v>28</v>
      </c>
      <c r="B29" s="9" t="s">
        <v>79</v>
      </c>
      <c r="C29" s="9" t="s">
        <v>84</v>
      </c>
      <c r="D29" s="9">
        <v>3</v>
      </c>
      <c r="E29" s="9">
        <v>18</v>
      </c>
      <c r="F29" s="9"/>
      <c r="G29" s="9" t="s">
        <v>85</v>
      </c>
      <c r="H29" s="12" t="s">
        <v>153</v>
      </c>
      <c r="I29" s="9"/>
      <c r="J29" s="9"/>
      <c r="K29" s="9"/>
      <c r="L29" s="3">
        <f t="shared" si="0"/>
        <v>14.7</v>
      </c>
      <c r="M29" s="4">
        <f t="shared" si="1"/>
        <v>0</v>
      </c>
      <c r="N29" s="4">
        <v>2</v>
      </c>
      <c r="O29" s="3">
        <f t="shared" si="3"/>
        <v>4.4000000000000004</v>
      </c>
      <c r="P29" s="3"/>
      <c r="Q29" s="8">
        <f t="shared" si="2"/>
        <v>19.100000000000001</v>
      </c>
    </row>
    <row r="30" spans="1:17" ht="34.5" x14ac:dyDescent="0.2">
      <c r="A30" s="7">
        <v>29</v>
      </c>
      <c r="B30" s="7" t="s">
        <v>79</v>
      </c>
      <c r="C30" s="7" t="s">
        <v>86</v>
      </c>
      <c r="D30" s="7">
        <v>3</v>
      </c>
      <c r="E30" s="7">
        <v>16</v>
      </c>
      <c r="F30" s="7" t="s">
        <v>159</v>
      </c>
      <c r="G30" s="7" t="s">
        <v>87</v>
      </c>
      <c r="H30" s="7"/>
      <c r="I30" s="7"/>
      <c r="J30" s="7"/>
      <c r="K30" s="7"/>
      <c r="L30" s="3">
        <f t="shared" si="0"/>
        <v>13.8</v>
      </c>
      <c r="M30" s="4">
        <f t="shared" si="1"/>
        <v>1.5</v>
      </c>
      <c r="N30" s="4">
        <v>1.5</v>
      </c>
      <c r="O30" s="3">
        <f t="shared" si="3"/>
        <v>3.3000000000000003</v>
      </c>
      <c r="P30" s="3"/>
      <c r="Q30" s="8">
        <f t="shared" si="2"/>
        <v>18.600000000000001</v>
      </c>
    </row>
    <row r="31" spans="1:17" ht="69" x14ac:dyDescent="0.2">
      <c r="A31" s="9">
        <v>30</v>
      </c>
      <c r="B31" s="9" t="s">
        <v>79</v>
      </c>
      <c r="C31" s="9" t="s">
        <v>83</v>
      </c>
      <c r="D31" s="9">
        <v>3</v>
      </c>
      <c r="E31" s="9">
        <v>20</v>
      </c>
      <c r="F31" s="9"/>
      <c r="G31" s="9" t="s">
        <v>88</v>
      </c>
      <c r="H31" s="13" t="s">
        <v>156</v>
      </c>
      <c r="I31" s="9"/>
      <c r="J31" s="9"/>
      <c r="K31" s="13"/>
      <c r="L31" s="3">
        <f t="shared" si="0"/>
        <v>15.600000000000001</v>
      </c>
      <c r="M31" s="4">
        <f t="shared" si="1"/>
        <v>0</v>
      </c>
      <c r="N31" s="4">
        <v>2</v>
      </c>
      <c r="O31" s="3">
        <f t="shared" si="3"/>
        <v>4.4000000000000004</v>
      </c>
      <c r="P31" s="3"/>
      <c r="Q31" s="8">
        <f t="shared" si="2"/>
        <v>20</v>
      </c>
    </row>
    <row r="32" spans="1:17" ht="30" x14ac:dyDescent="0.2">
      <c r="A32" s="7">
        <v>31</v>
      </c>
      <c r="B32" s="7" t="s">
        <v>79</v>
      </c>
      <c r="C32" s="7" t="s">
        <v>89</v>
      </c>
      <c r="D32" s="7">
        <v>3</v>
      </c>
      <c r="E32" s="7">
        <v>18</v>
      </c>
      <c r="F32" s="7" t="s">
        <v>90</v>
      </c>
      <c r="G32" s="7" t="s">
        <v>91</v>
      </c>
      <c r="H32" s="7"/>
      <c r="I32" s="7"/>
      <c r="J32" s="7"/>
      <c r="K32" s="7"/>
      <c r="L32" s="3">
        <f t="shared" si="0"/>
        <v>14.7</v>
      </c>
      <c r="M32" s="4">
        <f t="shared" si="1"/>
        <v>0</v>
      </c>
      <c r="N32" s="4">
        <v>1</v>
      </c>
      <c r="O32" s="3">
        <f t="shared" si="3"/>
        <v>2.2000000000000002</v>
      </c>
      <c r="P32" s="3"/>
      <c r="Q32" s="8">
        <f t="shared" si="2"/>
        <v>16.899999999999999</v>
      </c>
    </row>
    <row r="33" spans="1:17" ht="45" x14ac:dyDescent="0.2">
      <c r="A33" s="9">
        <v>32</v>
      </c>
      <c r="B33" s="9" t="s">
        <v>79</v>
      </c>
      <c r="C33" s="9" t="s">
        <v>92</v>
      </c>
      <c r="D33" s="9">
        <v>2</v>
      </c>
      <c r="E33" s="9">
        <v>24</v>
      </c>
      <c r="F33" s="9"/>
      <c r="G33" s="9" t="s">
        <v>93</v>
      </c>
      <c r="H33" s="9" t="s">
        <v>33</v>
      </c>
      <c r="I33" s="9"/>
      <c r="J33" s="9"/>
      <c r="K33" s="9"/>
      <c r="L33" s="3">
        <f t="shared" si="0"/>
        <v>15.200000000000001</v>
      </c>
      <c r="M33" s="4">
        <f t="shared" si="1"/>
        <v>0</v>
      </c>
      <c r="N33" s="4">
        <v>1.5</v>
      </c>
      <c r="O33" s="3">
        <f t="shared" si="3"/>
        <v>3.3000000000000003</v>
      </c>
      <c r="P33" s="3"/>
      <c r="Q33" s="8">
        <f t="shared" si="2"/>
        <v>18.5</v>
      </c>
    </row>
    <row r="34" spans="1:17" ht="75" x14ac:dyDescent="0.2">
      <c r="A34" s="7">
        <v>33</v>
      </c>
      <c r="B34" s="7" t="s">
        <v>79</v>
      </c>
      <c r="C34" s="7" t="s">
        <v>42</v>
      </c>
      <c r="D34" s="7">
        <v>1</v>
      </c>
      <c r="E34" s="7">
        <v>18</v>
      </c>
      <c r="F34" s="7" t="s">
        <v>23</v>
      </c>
      <c r="G34" s="7" t="s">
        <v>94</v>
      </c>
      <c r="H34" s="7" t="s">
        <v>95</v>
      </c>
      <c r="I34" s="7"/>
      <c r="J34" s="7"/>
      <c r="K34" s="7"/>
      <c r="L34" s="3">
        <f t="shared" si="0"/>
        <v>10.3</v>
      </c>
      <c r="M34" s="4">
        <f t="shared" si="1"/>
        <v>0</v>
      </c>
      <c r="N34" s="4">
        <v>2.5</v>
      </c>
      <c r="O34" s="3">
        <f t="shared" si="3"/>
        <v>5.5</v>
      </c>
      <c r="P34" s="3"/>
      <c r="Q34" s="8">
        <f t="shared" si="2"/>
        <v>15.8</v>
      </c>
    </row>
    <row r="35" spans="1:17" ht="71.25" x14ac:dyDescent="0.2">
      <c r="A35" s="9">
        <v>34</v>
      </c>
      <c r="B35" s="9" t="s">
        <v>79</v>
      </c>
      <c r="C35" s="9" t="s">
        <v>96</v>
      </c>
      <c r="D35" s="9">
        <v>3</v>
      </c>
      <c r="E35" s="9">
        <v>15</v>
      </c>
      <c r="F35" s="9" t="s">
        <v>161</v>
      </c>
      <c r="G35" s="9" t="s">
        <v>97</v>
      </c>
      <c r="H35" s="12" t="s">
        <v>158</v>
      </c>
      <c r="I35" s="12" t="s">
        <v>153</v>
      </c>
      <c r="J35" s="9"/>
      <c r="K35" s="9"/>
      <c r="L35" s="3">
        <f t="shared" si="0"/>
        <v>13.350000000000001</v>
      </c>
      <c r="M35" s="4">
        <f t="shared" si="1"/>
        <v>1.5</v>
      </c>
      <c r="N35" s="4">
        <v>3</v>
      </c>
      <c r="O35" s="3">
        <f t="shared" si="3"/>
        <v>6.6000000000000005</v>
      </c>
      <c r="P35" s="3"/>
      <c r="Q35" s="8">
        <f t="shared" si="2"/>
        <v>21.450000000000003</v>
      </c>
    </row>
    <row r="36" spans="1:17" ht="75" x14ac:dyDescent="0.2">
      <c r="A36" s="7">
        <v>35</v>
      </c>
      <c r="B36" s="7" t="s">
        <v>79</v>
      </c>
      <c r="C36" s="7" t="s">
        <v>98</v>
      </c>
      <c r="D36" s="7">
        <v>3</v>
      </c>
      <c r="E36" s="7">
        <v>20</v>
      </c>
      <c r="F36" s="7" t="s">
        <v>23</v>
      </c>
      <c r="G36" s="7" t="s">
        <v>99</v>
      </c>
      <c r="H36" s="11" t="s">
        <v>157</v>
      </c>
      <c r="I36" s="7"/>
      <c r="J36" s="7"/>
      <c r="K36" s="7"/>
      <c r="L36" s="3">
        <f t="shared" si="0"/>
        <v>15.600000000000001</v>
      </c>
      <c r="M36" s="4">
        <f t="shared" si="1"/>
        <v>0</v>
      </c>
      <c r="N36" s="4">
        <v>2</v>
      </c>
      <c r="O36" s="3">
        <f t="shared" si="3"/>
        <v>4.4000000000000004</v>
      </c>
      <c r="P36" s="3"/>
      <c r="Q36" s="8">
        <f t="shared" si="2"/>
        <v>20</v>
      </c>
    </row>
    <row r="37" spans="1:17" ht="34.5" x14ac:dyDescent="0.2">
      <c r="A37" s="9">
        <v>36</v>
      </c>
      <c r="B37" s="9" t="s">
        <v>79</v>
      </c>
      <c r="C37" s="9" t="s">
        <v>100</v>
      </c>
      <c r="D37" s="9">
        <v>2</v>
      </c>
      <c r="E37" s="9">
        <v>20</v>
      </c>
      <c r="F37" s="9" t="s">
        <v>162</v>
      </c>
      <c r="G37" s="9" t="s">
        <v>101</v>
      </c>
      <c r="H37" s="9"/>
      <c r="I37" s="9"/>
      <c r="J37" s="9"/>
      <c r="K37" s="9"/>
      <c r="L37" s="3">
        <f t="shared" si="0"/>
        <v>13.4</v>
      </c>
      <c r="M37" s="4">
        <f t="shared" si="1"/>
        <v>0</v>
      </c>
      <c r="N37" s="4">
        <v>8</v>
      </c>
      <c r="O37" s="3">
        <f>N37*0.45</f>
        <v>3.6</v>
      </c>
      <c r="P37" s="3"/>
      <c r="Q37" s="8">
        <f t="shared" si="2"/>
        <v>17</v>
      </c>
    </row>
    <row r="38" spans="1:17" ht="45" x14ac:dyDescent="0.2">
      <c r="A38" s="7">
        <v>37</v>
      </c>
      <c r="B38" s="7" t="s">
        <v>102</v>
      </c>
      <c r="C38" s="7" t="s">
        <v>103</v>
      </c>
      <c r="D38" s="7">
        <v>2</v>
      </c>
      <c r="E38" s="7">
        <v>20</v>
      </c>
      <c r="F38" s="7"/>
      <c r="G38" s="7" t="s">
        <v>104</v>
      </c>
      <c r="H38" s="7" t="s">
        <v>42</v>
      </c>
      <c r="I38" s="7"/>
      <c r="J38" s="7"/>
      <c r="K38" s="7"/>
      <c r="L38" s="3">
        <f t="shared" si="0"/>
        <v>13.4</v>
      </c>
      <c r="M38" s="4">
        <f t="shared" si="1"/>
        <v>0</v>
      </c>
      <c r="N38" s="4">
        <v>2</v>
      </c>
      <c r="O38" s="3">
        <f t="shared" ref="O38:O43" si="4">N38*2.2</f>
        <v>4.4000000000000004</v>
      </c>
      <c r="P38" s="3"/>
      <c r="Q38" s="8">
        <f t="shared" si="2"/>
        <v>17.8</v>
      </c>
    </row>
    <row r="39" spans="1:17" ht="45" x14ac:dyDescent="0.2">
      <c r="A39" s="9">
        <v>38</v>
      </c>
      <c r="B39" s="9" t="s">
        <v>102</v>
      </c>
      <c r="C39" s="9" t="s">
        <v>105</v>
      </c>
      <c r="D39" s="9">
        <v>0</v>
      </c>
      <c r="E39" s="9">
        <v>27</v>
      </c>
      <c r="F39" s="9" t="s">
        <v>90</v>
      </c>
      <c r="G39" s="9" t="s">
        <v>106</v>
      </c>
      <c r="H39" s="9"/>
      <c r="I39" s="9"/>
      <c r="J39" s="9"/>
      <c r="K39" s="9"/>
      <c r="L39" s="3">
        <f t="shared" si="0"/>
        <v>12.15</v>
      </c>
      <c r="M39" s="4">
        <f t="shared" si="1"/>
        <v>0</v>
      </c>
      <c r="N39" s="4">
        <v>2</v>
      </c>
      <c r="O39" s="3">
        <f t="shared" si="4"/>
        <v>4.4000000000000004</v>
      </c>
      <c r="P39" s="3"/>
      <c r="Q39" s="8">
        <f t="shared" si="2"/>
        <v>16.55</v>
      </c>
    </row>
    <row r="40" spans="1:17" ht="30" x14ac:dyDescent="0.2">
      <c r="A40" s="7">
        <v>39</v>
      </c>
      <c r="B40" s="7" t="s">
        <v>102</v>
      </c>
      <c r="C40" s="7" t="s">
        <v>107</v>
      </c>
      <c r="D40" s="7">
        <v>3</v>
      </c>
      <c r="E40" s="7">
        <v>17</v>
      </c>
      <c r="F40" s="7" t="s">
        <v>51</v>
      </c>
      <c r="G40" s="7" t="s">
        <v>108</v>
      </c>
      <c r="H40" s="7"/>
      <c r="I40" s="7"/>
      <c r="J40" s="7"/>
      <c r="K40" s="7"/>
      <c r="L40" s="3">
        <f t="shared" si="0"/>
        <v>14.25</v>
      </c>
      <c r="M40" s="4">
        <f t="shared" si="1"/>
        <v>0</v>
      </c>
      <c r="N40" s="4">
        <v>2</v>
      </c>
      <c r="O40" s="3">
        <f t="shared" si="4"/>
        <v>4.4000000000000004</v>
      </c>
      <c r="P40" s="3"/>
      <c r="Q40" s="8">
        <f t="shared" si="2"/>
        <v>18.649999999999999</v>
      </c>
    </row>
    <row r="41" spans="1:17" ht="45" x14ac:dyDescent="0.2">
      <c r="A41" s="9">
        <v>40</v>
      </c>
      <c r="B41" s="9" t="s">
        <v>102</v>
      </c>
      <c r="C41" s="9" t="s">
        <v>109</v>
      </c>
      <c r="D41" s="9">
        <v>5</v>
      </c>
      <c r="E41" s="9">
        <v>13</v>
      </c>
      <c r="F41" s="9"/>
      <c r="G41" s="9" t="s">
        <v>110</v>
      </c>
      <c r="H41" s="9"/>
      <c r="I41" s="9"/>
      <c r="J41" s="9"/>
      <c r="K41" s="9"/>
      <c r="L41" s="3">
        <f t="shared" si="0"/>
        <v>16.850000000000001</v>
      </c>
      <c r="M41" s="4">
        <f t="shared" si="1"/>
        <v>0</v>
      </c>
      <c r="N41" s="4">
        <v>2</v>
      </c>
      <c r="O41" s="3">
        <f t="shared" si="4"/>
        <v>4.4000000000000004</v>
      </c>
      <c r="P41" s="3"/>
      <c r="Q41" s="8">
        <f t="shared" si="2"/>
        <v>21.25</v>
      </c>
    </row>
    <row r="42" spans="1:17" ht="60" x14ac:dyDescent="0.2">
      <c r="A42" s="7">
        <v>41</v>
      </c>
      <c r="B42" s="7" t="s">
        <v>102</v>
      </c>
      <c r="C42" s="7" t="s">
        <v>111</v>
      </c>
      <c r="D42" s="7">
        <v>2</v>
      </c>
      <c r="E42" s="7">
        <v>24</v>
      </c>
      <c r="F42" s="7"/>
      <c r="G42" s="7" t="s">
        <v>112</v>
      </c>
      <c r="H42" s="7" t="s">
        <v>66</v>
      </c>
      <c r="I42" s="7"/>
      <c r="J42" s="7"/>
      <c r="K42" s="7"/>
      <c r="L42" s="3">
        <f t="shared" si="0"/>
        <v>15.200000000000001</v>
      </c>
      <c r="M42" s="4">
        <f t="shared" si="1"/>
        <v>0</v>
      </c>
      <c r="N42" s="4">
        <v>1</v>
      </c>
      <c r="O42" s="3">
        <f t="shared" si="4"/>
        <v>2.2000000000000002</v>
      </c>
      <c r="P42" s="3"/>
      <c r="Q42" s="8">
        <f t="shared" si="2"/>
        <v>17.400000000000002</v>
      </c>
    </row>
    <row r="43" spans="1:17" ht="90" x14ac:dyDescent="0.2">
      <c r="A43" s="9">
        <v>42</v>
      </c>
      <c r="B43" s="9" t="s">
        <v>102</v>
      </c>
      <c r="C43" s="9" t="s">
        <v>113</v>
      </c>
      <c r="D43" s="9">
        <v>2</v>
      </c>
      <c r="E43" s="9">
        <v>18</v>
      </c>
      <c r="F43" s="9" t="s">
        <v>16</v>
      </c>
      <c r="G43" s="9" t="s">
        <v>114</v>
      </c>
      <c r="H43" s="9"/>
      <c r="I43" s="9"/>
      <c r="J43" s="9"/>
      <c r="K43" s="9"/>
      <c r="L43" s="3">
        <f t="shared" si="0"/>
        <v>12.5</v>
      </c>
      <c r="M43" s="4">
        <f t="shared" si="1"/>
        <v>1.5</v>
      </c>
      <c r="N43" s="4">
        <v>3</v>
      </c>
      <c r="O43" s="3">
        <f t="shared" si="4"/>
        <v>6.6000000000000005</v>
      </c>
      <c r="P43" s="3"/>
      <c r="Q43" s="8">
        <f t="shared" si="2"/>
        <v>20.6</v>
      </c>
    </row>
    <row r="44" spans="1:17" ht="45" x14ac:dyDescent="0.2">
      <c r="A44" s="7">
        <v>43</v>
      </c>
      <c r="B44" s="7" t="s">
        <v>102</v>
      </c>
      <c r="C44" s="7" t="s">
        <v>73</v>
      </c>
      <c r="D44" s="7">
        <v>1</v>
      </c>
      <c r="E44" s="7">
        <v>14</v>
      </c>
      <c r="F44" s="7" t="s">
        <v>23</v>
      </c>
      <c r="G44" s="7" t="s">
        <v>115</v>
      </c>
      <c r="H44" s="7"/>
      <c r="I44" s="7"/>
      <c r="J44" s="7"/>
      <c r="K44" s="7"/>
      <c r="L44" s="3">
        <f t="shared" si="0"/>
        <v>8.5</v>
      </c>
      <c r="M44" s="4">
        <f t="shared" si="1"/>
        <v>0</v>
      </c>
      <c r="N44" s="4">
        <v>6</v>
      </c>
      <c r="O44" s="3">
        <f>N44*0.45</f>
        <v>2.7</v>
      </c>
      <c r="P44" s="3">
        <v>3</v>
      </c>
      <c r="Q44" s="8">
        <f t="shared" si="2"/>
        <v>14.2</v>
      </c>
    </row>
    <row r="45" spans="1:17" ht="60" x14ac:dyDescent="0.2">
      <c r="A45" s="9">
        <v>44</v>
      </c>
      <c r="B45" s="9" t="s">
        <v>79</v>
      </c>
      <c r="C45" s="9" t="s">
        <v>116</v>
      </c>
      <c r="D45" s="9">
        <v>2</v>
      </c>
      <c r="E45" s="9">
        <v>26</v>
      </c>
      <c r="F45" s="9" t="s">
        <v>38</v>
      </c>
      <c r="G45" s="9" t="s">
        <v>117</v>
      </c>
      <c r="H45" s="9"/>
      <c r="I45" s="9" t="s">
        <v>118</v>
      </c>
      <c r="J45" s="9"/>
      <c r="K45" s="9"/>
      <c r="L45" s="3">
        <f t="shared" si="0"/>
        <v>16.100000000000001</v>
      </c>
      <c r="M45" s="4">
        <f t="shared" si="1"/>
        <v>0</v>
      </c>
      <c r="N45" s="4">
        <v>2</v>
      </c>
      <c r="O45" s="3">
        <f>N45*2.2</f>
        <v>4.4000000000000004</v>
      </c>
      <c r="P45" s="3"/>
      <c r="Q45" s="8">
        <f t="shared" si="2"/>
        <v>20.5</v>
      </c>
    </row>
    <row r="46" spans="1:17" ht="45" x14ac:dyDescent="0.2">
      <c r="A46" s="7">
        <v>45</v>
      </c>
      <c r="B46" s="7" t="s">
        <v>44</v>
      </c>
      <c r="C46" s="7" t="s">
        <v>119</v>
      </c>
      <c r="D46" s="7">
        <v>3</v>
      </c>
      <c r="E46" s="7">
        <v>16</v>
      </c>
      <c r="F46" s="7" t="s">
        <v>23</v>
      </c>
      <c r="G46" s="7" t="s">
        <v>120</v>
      </c>
      <c r="H46" s="7"/>
      <c r="I46" s="7" t="s">
        <v>121</v>
      </c>
      <c r="J46" s="7"/>
      <c r="K46" s="7"/>
      <c r="L46" s="3">
        <f t="shared" si="0"/>
        <v>13.8</v>
      </c>
      <c r="M46" s="4">
        <f t="shared" si="1"/>
        <v>0</v>
      </c>
      <c r="N46" s="4">
        <v>2</v>
      </c>
      <c r="O46" s="3">
        <f>N46*2.2</f>
        <v>4.4000000000000004</v>
      </c>
      <c r="P46" s="3"/>
      <c r="Q46" s="8">
        <f t="shared" si="2"/>
        <v>18.200000000000003</v>
      </c>
    </row>
    <row r="47" spans="1:17" ht="15" x14ac:dyDescent="0.2">
      <c r="A47" s="9">
        <v>46</v>
      </c>
      <c r="B47" s="9" t="s">
        <v>79</v>
      </c>
      <c r="C47" s="9" t="s">
        <v>122</v>
      </c>
      <c r="D47" s="9">
        <v>2</v>
      </c>
      <c r="E47" s="9">
        <v>19</v>
      </c>
      <c r="F47" s="9" t="s">
        <v>123</v>
      </c>
      <c r="G47" s="9" t="s">
        <v>124</v>
      </c>
      <c r="H47" s="9"/>
      <c r="I47" s="9"/>
      <c r="J47" s="9"/>
      <c r="K47" s="9"/>
      <c r="L47" s="3">
        <f t="shared" si="0"/>
        <v>12.950000000000001</v>
      </c>
      <c r="M47" s="4">
        <f t="shared" si="1"/>
        <v>1.5</v>
      </c>
      <c r="N47" s="4">
        <v>2</v>
      </c>
      <c r="O47" s="3">
        <f>N47*2.2</f>
        <v>4.4000000000000004</v>
      </c>
      <c r="P47" s="3"/>
      <c r="Q47" s="8">
        <f t="shared" si="2"/>
        <v>18.850000000000001</v>
      </c>
    </row>
    <row r="48" spans="1:17" ht="45" x14ac:dyDescent="0.2">
      <c r="A48" s="7">
        <v>47</v>
      </c>
      <c r="B48" s="7" t="s">
        <v>79</v>
      </c>
      <c r="C48" s="7" t="s">
        <v>125</v>
      </c>
      <c r="D48" s="7">
        <v>0</v>
      </c>
      <c r="E48" s="7">
        <v>18</v>
      </c>
      <c r="F48" s="7" t="s">
        <v>16</v>
      </c>
      <c r="G48" s="7" t="s">
        <v>126</v>
      </c>
      <c r="H48" s="10" t="s">
        <v>154</v>
      </c>
      <c r="I48" s="7"/>
      <c r="J48" s="7"/>
      <c r="K48" s="7"/>
      <c r="L48" s="3">
        <f t="shared" si="0"/>
        <v>8.1</v>
      </c>
      <c r="M48" s="4">
        <f t="shared" si="1"/>
        <v>1.5</v>
      </c>
      <c r="N48" s="4">
        <v>4</v>
      </c>
      <c r="O48" s="3">
        <f>N48*2.2</f>
        <v>8.8000000000000007</v>
      </c>
      <c r="P48" s="3"/>
      <c r="Q48" s="8">
        <f t="shared" si="2"/>
        <v>18.399999999999999</v>
      </c>
    </row>
    <row r="49" spans="1:17" ht="15" x14ac:dyDescent="0.2">
      <c r="A49" s="9" t="s">
        <v>127</v>
      </c>
      <c r="B49" s="9" t="s">
        <v>128</v>
      </c>
      <c r="C49" s="9" t="s">
        <v>129</v>
      </c>
      <c r="D49" s="9">
        <v>1</v>
      </c>
      <c r="E49" s="9">
        <v>1</v>
      </c>
      <c r="F49" s="9"/>
      <c r="G49" s="9" t="s">
        <v>130</v>
      </c>
      <c r="H49" s="9"/>
      <c r="I49" s="9"/>
      <c r="J49" s="9"/>
      <c r="K49" s="9"/>
      <c r="L49" s="3">
        <f t="shared" si="0"/>
        <v>2.6500000000000004</v>
      </c>
      <c r="M49" s="4">
        <f t="shared" si="1"/>
        <v>0</v>
      </c>
      <c r="N49" s="4"/>
      <c r="O49" s="3"/>
      <c r="P49" s="3"/>
      <c r="Q49" s="3"/>
    </row>
    <row r="58" spans="1:17" ht="27" x14ac:dyDescent="0.2">
      <c r="A58" s="15" t="s">
        <v>195</v>
      </c>
      <c r="B58" s="15"/>
      <c r="C58" s="15"/>
      <c r="D58" s="15"/>
      <c r="E58" s="15"/>
      <c r="F58" s="15"/>
    </row>
    <row r="59" spans="1:17" ht="15" customHeight="1" x14ac:dyDescent="0.2">
      <c r="A59" s="17" t="s">
        <v>164</v>
      </c>
      <c r="B59" s="17"/>
      <c r="C59" s="17"/>
      <c r="D59" s="17"/>
      <c r="E59" s="17"/>
      <c r="F59" s="17"/>
    </row>
    <row r="60" spans="1:17" ht="16.5" hidden="1" x14ac:dyDescent="0.2">
      <c r="A60" s="18" t="s">
        <v>166</v>
      </c>
      <c r="B60" s="19" t="s">
        <v>167</v>
      </c>
      <c r="C60" s="19"/>
      <c r="D60" s="19"/>
      <c r="E60" s="19"/>
      <c r="F60" s="19"/>
    </row>
    <row r="61" spans="1:17" ht="20.25" x14ac:dyDescent="0.2">
      <c r="A61" s="23" t="s">
        <v>194</v>
      </c>
      <c r="B61" s="24" t="s">
        <v>196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1:17" ht="18" x14ac:dyDescent="0.2">
      <c r="A62" s="20" t="s">
        <v>168</v>
      </c>
      <c r="B62" s="21" t="s">
        <v>187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1:17" ht="15" customHeight="1" x14ac:dyDescent="0.2">
      <c r="A63" s="20" t="s">
        <v>175</v>
      </c>
      <c r="B63" s="21" t="s">
        <v>188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spans="1:17" ht="15" customHeight="1" x14ac:dyDescent="0.2">
      <c r="A64" s="20" t="s">
        <v>169</v>
      </c>
      <c r="B64" s="21" t="s">
        <v>170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1:17" ht="15" customHeight="1" x14ac:dyDescent="0.2">
      <c r="A65" s="20" t="s">
        <v>171</v>
      </c>
      <c r="B65" s="21" t="s">
        <v>172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1:17" ht="15" customHeight="1" x14ac:dyDescent="0.2">
      <c r="A66" s="20" t="s">
        <v>173</v>
      </c>
      <c r="B66" s="21" t="s">
        <v>174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1:17" ht="15" customHeight="1" x14ac:dyDescent="0.2">
      <c r="A67" s="16"/>
      <c r="B67" s="16"/>
      <c r="C67" s="16"/>
      <c r="D67" s="16"/>
      <c r="E67" s="16"/>
      <c r="F67" s="16"/>
    </row>
    <row r="68" spans="1:17" ht="27" x14ac:dyDescent="0.2">
      <c r="A68" s="22" t="s">
        <v>197</v>
      </c>
      <c r="B68" s="15"/>
      <c r="C68" s="15"/>
      <c r="D68" s="15"/>
      <c r="E68" s="15"/>
      <c r="F68" s="15"/>
    </row>
    <row r="69" spans="1:17" ht="20.25" x14ac:dyDescent="0.2">
      <c r="A69" s="23" t="s">
        <v>198</v>
      </c>
      <c r="B69" s="24" t="s">
        <v>196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spans="1:17" ht="15" customHeight="1" x14ac:dyDescent="0.2">
      <c r="A70" s="20" t="s">
        <v>176</v>
      </c>
      <c r="B70" s="21" t="s">
        <v>189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1:17" ht="15" customHeight="1" x14ac:dyDescent="0.2">
      <c r="A71" s="20" t="s">
        <v>177</v>
      </c>
      <c r="B71" s="21" t="s">
        <v>190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 spans="1:17" ht="15" customHeight="1" x14ac:dyDescent="0.2">
      <c r="A72" s="20" t="s">
        <v>178</v>
      </c>
      <c r="B72" s="21" t="s">
        <v>191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 ht="15.75" customHeight="1" x14ac:dyDescent="0.2">
      <c r="A73" s="20" t="s">
        <v>179</v>
      </c>
      <c r="B73" s="21" t="s">
        <v>192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 ht="15" customHeight="1" x14ac:dyDescent="0.2">
      <c r="A74" s="20" t="s">
        <v>180</v>
      </c>
      <c r="B74" s="21" t="s">
        <v>186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ht="15" customHeight="1" x14ac:dyDescent="0.2">
      <c r="A75" s="20" t="s">
        <v>181</v>
      </c>
      <c r="B75" s="21" t="s">
        <v>193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 ht="15" customHeight="1" x14ac:dyDescent="0.2">
      <c r="A76" s="20" t="s">
        <v>182</v>
      </c>
      <c r="B76" s="21" t="s">
        <v>185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ht="15" customHeight="1" x14ac:dyDescent="0.2">
      <c r="A77" s="20" t="s">
        <v>183</v>
      </c>
      <c r="B77" s="21" t="s">
        <v>184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 ht="15" customHeight="1" x14ac:dyDescent="0.2">
      <c r="A78" s="25" t="s">
        <v>165</v>
      </c>
      <c r="B78" s="25"/>
      <c r="C78" s="25"/>
      <c r="D78" s="25"/>
      <c r="E78" s="25"/>
      <c r="F78" s="25"/>
    </row>
  </sheetData>
  <autoFilter ref="A1:S1" xr:uid="{00000000-0001-0000-0000-000000000000}">
    <sortState xmlns:xlrd2="http://schemas.microsoft.com/office/spreadsheetml/2017/richdata2" ref="A2:Q49">
      <sortCondition ref="A1"/>
    </sortState>
  </autoFilter>
  <mergeCells count="20">
    <mergeCell ref="B76:Q76"/>
    <mergeCell ref="B77:Q77"/>
    <mergeCell ref="B61:Q61"/>
    <mergeCell ref="B69:Q69"/>
    <mergeCell ref="B71:Q71"/>
    <mergeCell ref="B72:Q72"/>
    <mergeCell ref="B73:Q73"/>
    <mergeCell ref="A78:F78"/>
    <mergeCell ref="A68:F68"/>
    <mergeCell ref="B60:F60"/>
    <mergeCell ref="B62:Q62"/>
    <mergeCell ref="B63:Q63"/>
    <mergeCell ref="B74:Q74"/>
    <mergeCell ref="B75:Q75"/>
    <mergeCell ref="B65:Q65"/>
    <mergeCell ref="B66:Q66"/>
    <mergeCell ref="B70:Q70"/>
    <mergeCell ref="A58:F58"/>
    <mergeCell ref="A59:F59"/>
    <mergeCell ref="B64:Q6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EE44-8C24-409F-B95B-366E700D4059}">
  <dimension ref="A1:K27"/>
  <sheetViews>
    <sheetView workbookViewId="0">
      <selection activeCell="A61" sqref="A61"/>
    </sheetView>
  </sheetViews>
  <sheetFormatPr defaultRowHeight="14.25" x14ac:dyDescent="0.2"/>
  <cols>
    <col min="1" max="1" width="23.5" bestFit="1" customWidth="1"/>
  </cols>
  <sheetData>
    <row r="1" spans="1:11" ht="17.25" x14ac:dyDescent="0.3">
      <c r="A1" s="1" t="s">
        <v>132</v>
      </c>
      <c r="B1" s="14" t="s">
        <v>143</v>
      </c>
      <c r="C1" s="14"/>
      <c r="D1" s="14"/>
      <c r="E1" s="14"/>
    </row>
    <row r="3" spans="1:11" x14ac:dyDescent="0.2">
      <c r="A3" t="s">
        <v>151</v>
      </c>
    </row>
    <row r="4" spans="1:11" x14ac:dyDescent="0.2">
      <c r="A4" t="s">
        <v>150</v>
      </c>
    </row>
    <row r="12" spans="1:11" x14ac:dyDescent="0.2">
      <c r="C12" t="s">
        <v>131</v>
      </c>
      <c r="D12" t="s">
        <v>144</v>
      </c>
      <c r="E12">
        <v>18.75</v>
      </c>
      <c r="G12" s="14" t="s">
        <v>135</v>
      </c>
      <c r="H12" s="14"/>
      <c r="J12" s="14"/>
      <c r="K12" s="14"/>
    </row>
    <row r="13" spans="1:11" x14ac:dyDescent="0.2">
      <c r="C13" t="s">
        <v>133</v>
      </c>
      <c r="D13" t="s">
        <v>134</v>
      </c>
      <c r="E13" t="s">
        <v>142</v>
      </c>
      <c r="G13" t="s">
        <v>141</v>
      </c>
      <c r="H13" t="s">
        <v>142</v>
      </c>
    </row>
    <row r="14" spans="1:11" x14ac:dyDescent="0.2">
      <c r="C14" s="2">
        <v>1</v>
      </c>
      <c r="D14" s="2">
        <f>ROUND((E14-2.2*C14)/0.45,0)</f>
        <v>37</v>
      </c>
      <c r="E14" s="2">
        <f>$E$12</f>
        <v>18.75</v>
      </c>
      <c r="G14" t="s">
        <v>136</v>
      </c>
      <c r="H14">
        <v>0</v>
      </c>
    </row>
    <row r="15" spans="1:11" x14ac:dyDescent="0.2">
      <c r="C15" s="2">
        <v>2</v>
      </c>
      <c r="D15" s="2">
        <f>ROUND((E15-2.2*C15)/0.45,0)</f>
        <v>32</v>
      </c>
      <c r="E15" s="2">
        <f t="shared" ref="E15:E18" si="0">$E$12</f>
        <v>18.75</v>
      </c>
      <c r="G15" t="s">
        <v>137</v>
      </c>
      <c r="H15">
        <v>1.5</v>
      </c>
    </row>
    <row r="16" spans="1:11" x14ac:dyDescent="0.2">
      <c r="C16" s="2">
        <v>3</v>
      </c>
      <c r="D16" s="2">
        <f t="shared" ref="D16:D18" si="1">ROUND((E14-2.2*C16)/0.45,0)</f>
        <v>27</v>
      </c>
      <c r="E16" s="2">
        <f t="shared" si="0"/>
        <v>18.75</v>
      </c>
      <c r="G16" t="s">
        <v>138</v>
      </c>
      <c r="H16">
        <v>0</v>
      </c>
    </row>
    <row r="17" spans="3:8" x14ac:dyDescent="0.2">
      <c r="C17" s="2">
        <v>4</v>
      </c>
      <c r="D17" s="2">
        <f t="shared" si="1"/>
        <v>22</v>
      </c>
      <c r="E17" s="2">
        <f t="shared" si="0"/>
        <v>18.75</v>
      </c>
      <c r="G17" t="s">
        <v>139</v>
      </c>
      <c r="H17">
        <v>1.5</v>
      </c>
    </row>
    <row r="18" spans="3:8" x14ac:dyDescent="0.2">
      <c r="C18" s="2">
        <v>5</v>
      </c>
      <c r="D18" s="2">
        <f t="shared" si="1"/>
        <v>17</v>
      </c>
      <c r="E18" s="2">
        <f t="shared" si="0"/>
        <v>18.75</v>
      </c>
      <c r="G18" t="s">
        <v>140</v>
      </c>
      <c r="H18">
        <v>0</v>
      </c>
    </row>
    <row r="19" spans="3:8" x14ac:dyDescent="0.2">
      <c r="C19" s="2"/>
      <c r="D19" s="2"/>
      <c r="E19" s="2"/>
    </row>
    <row r="20" spans="3:8" x14ac:dyDescent="0.2">
      <c r="C20" s="2"/>
      <c r="D20" s="2"/>
      <c r="E20" s="2"/>
    </row>
    <row r="21" spans="3:8" x14ac:dyDescent="0.2">
      <c r="C21" s="2"/>
      <c r="D21" s="2"/>
      <c r="E21" s="2"/>
    </row>
    <row r="22" spans="3:8" x14ac:dyDescent="0.2">
      <c r="C22" s="2"/>
      <c r="D22" s="2"/>
      <c r="E22" s="2"/>
    </row>
    <row r="23" spans="3:8" x14ac:dyDescent="0.2">
      <c r="C23" s="2"/>
      <c r="D23" s="2"/>
      <c r="E23" s="2"/>
    </row>
    <row r="24" spans="3:8" x14ac:dyDescent="0.2">
      <c r="C24" s="2"/>
      <c r="D24" s="2"/>
      <c r="E24" s="2"/>
    </row>
    <row r="25" spans="3:8" x14ac:dyDescent="0.2">
      <c r="C25" s="2"/>
      <c r="D25" s="2"/>
      <c r="E25" s="2"/>
    </row>
    <row r="26" spans="3:8" x14ac:dyDescent="0.2">
      <c r="C26" s="2"/>
      <c r="D26" s="2"/>
      <c r="E26" s="2"/>
    </row>
    <row r="27" spans="3:8" x14ac:dyDescent="0.2">
      <c r="C27" s="2"/>
      <c r="D27" s="2"/>
      <c r="E27" s="2"/>
    </row>
  </sheetData>
  <mergeCells count="3">
    <mergeCell ref="B1:E1"/>
    <mergeCell ref="G12:H12"/>
    <mergeCell ref="J12:K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角色列表</vt:lpstr>
      <vt:lpstr>平衡调整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杨俊涛</dc:creator>
  <cp:lastModifiedBy>俊涛 杨</cp:lastModifiedBy>
  <dcterms:created xsi:type="dcterms:W3CDTF">2015-06-05T18:19:34Z</dcterms:created>
  <dcterms:modified xsi:type="dcterms:W3CDTF">2026-09-08T15:35:57Z</dcterms:modified>
</cp:coreProperties>
</file>